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name="START HERE" sheetId="1" state="visible" r:id="rId1"/>
    <sheet name="Version" sheetId="2" state="visible" r:id="rId2"/>
    <sheet name="Revisions" sheetId="3" state="visible" r:id="rId3"/>
    <sheet name="README" sheetId="4" state="visible" r:id="rId4"/>
    <sheet name="Project" sheetId="5" state="visible" r:id="rId5"/>
    <sheet name="Existing" sheetId="6" state="visible" r:id="rId6"/>
    <sheet name="Equipment" sheetId="7" state="visible" r:id="rId7"/>
    <sheet name="Electrical" sheetId="8" state="visible" r:id="rId8"/>
    <sheet name="Construction" sheetId="9" state="visible" r:id="rId9"/>
    <sheet name="Commercial" sheetId="10" state="visible" r:id="rId10"/>
    <sheet name="Pricing" sheetId="11" state="visible" r:id="rId11"/>
    <sheet name="Revenue" sheetId="12" state="visible" r:id="rId12"/>
    <sheet name="Carbon" sheetId="13" state="visible" r:id="rId13"/>
    <sheet name="Deal_Structure" sheetId="14" state="visible" r:id="rId14"/>
    <sheet name="Overrides" sheetId="15" state="visible" r:id="rId15"/>
    <sheet name="PriceBook" sheetId="16" state="hidden" r:id="rId16"/>
    <sheet name="RefData" sheetId="17" state="hidden" r:id="rId17"/>
    <sheet name="Utilities" sheetId="18" state="hidden" r:id="rId18"/>
    <sheet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Electrical!$A$220:$A$237</definedName>
    <definedName name="SZ_AMP">Electrical!$D$220:$D$237</definedName>
    <definedName name="SZ_Z">Electrical!$E$220:$E$237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'Version'!$A$1:$C$55</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'Electrical'!$A$1:$X$237</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5">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xf numFmtId="185" fontId="57" fillId="9" borderId="10" applyAlignment="1" applyProtection="1" pivotButton="0" quotePrefix="0" xfId="0">
      <alignment horizontal="center" vertical="center" wrapText="1"/>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4.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zoomScale="100" workbookViewId="0">
      <pane ySplit="2" topLeftCell="A3" activePane="bottomLeft" state="frozen"/>
      <selection pane="bottomLeft" activeCell="A1" sqref="A1"/>
    </sheetView>
  </sheetViews>
  <sheetFormatPr baseColWidth="8" defaultRowHeight="15"/>
  <cols>
    <col width="6" customWidth="1" style="254" min="1" max="1"/>
    <col width="100" customWidth="1" style="254" min="2" max="2"/>
  </cols>
  <sheetData>
    <row r="1" ht="30" customHeight="1" s="254">
      <c r="A1" s="777" t="n"/>
      <c r="B1" s="778" t="inlineStr">
        <is>
          <t>START HERE — how to fill this intake</t>
        </is>
      </c>
    </row>
    <row r="2">
      <c r="B2" s="779" t="inlineStr">
        <is>
          <t>Two minutes to read. The tabs run left to right in the order you should fill them.</t>
        </is>
      </c>
    </row>
    <row r="3" s="254"/>
    <row r="4" ht="48.5" customHeight="1" s="254">
      <c r="A4" s="780" t="inlineStr">
        <is>
          <t>1</t>
        </is>
      </c>
      <c r="B4" s="781"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21.5" customHeight="1" s="254">
      <c r="A5" s="780" t="inlineStr">
        <is>
          <t>2</t>
        </is>
      </c>
      <c r="B5" s="781" t="inlineStr">
        <is>
          <t>Blue cells are yours. Type only in blue cells. Everything else is locked and works itself out.</t>
        </is>
      </c>
    </row>
    <row r="6" ht="35" customHeight="1" s="254">
      <c r="A6" s="780" t="inlineStr">
        <is>
          <t>3</t>
        </is>
      </c>
      <c r="B6" s="781" t="inlineStr">
        <is>
          <t>Pick from the dropdown where one is offered. The price book, the rate library and the utility list sit behind the dropdowns on hidden tabs — right-click any tab and choose Unhide if you need to see them.</t>
        </is>
      </c>
    </row>
    <row r="7" ht="48.5" customHeight="1" s="254">
      <c r="A7" s="780" t="inlineStr">
        <is>
          <t>4</t>
        </is>
      </c>
      <c r="B7" s="781" t="inlineStr">
        <is>
          <t>A [+] in the left margin means a block is folded away because most sites do not need it — entry checks, replacement-site sections, power-cabinet runs, derived working. The heading stays visible; click [+] to open it.</t>
        </is>
      </c>
    </row>
    <row r="8" ht="35" customHeight="1" s="254">
      <c r="A8" s="780" t="inlineStr">
        <is>
          <t>5</t>
        </is>
      </c>
      <c r="B8" s="781" t="inlineStr">
        <is>
          <t>Leave a blue cell blank if you do not know the answer. Never type N/A, ?, TBC or a note into a number cell — a blank is read correctly, a word breaks the calculation.</t>
        </is>
      </c>
    </row>
    <row r="9" ht="35" customHeight="1" s="254">
      <c r="A9" s="780" t="inlineStr">
        <is>
          <t>6</t>
        </is>
      </c>
      <c r="B9" s="781" t="inlineStr">
        <is>
          <t>Before you send it back, look at the verdict lines: ENTRY CHECKS ALL PASS at the foot of Equipment, the verdict column on the Electrical charger runs, and any line reading FIX or MISMATCH.</t>
        </is>
      </c>
    </row>
    <row r="10" ht="35" customHeight="1" s="254">
      <c r="A10" s="780" t="inlineStr">
        <is>
          <t>7</t>
        </is>
      </c>
      <c r="B10" s="781" t="inlineStr">
        <is>
          <t>Do not add rows, columns or tabs, and do not move anything. The model reads this file by its labels. Save it with the revision letter in the file name and record what you changed on the Revisions tab.</t>
        </is>
      </c>
    </row>
    <row r="11" s="254"/>
    <row r="12">
      <c r="B12" s="782" t="inlineStr">
        <is>
          <t>What the colours mean</t>
        </is>
      </c>
    </row>
    <row r="13" ht="18" customHeight="1" s="254">
      <c r="A13" s="783" t="inlineStr"/>
      <c r="B13" s="784" t="inlineStr">
        <is>
          <t>Blue — yours to fill. Unlocked. A dropdown may be attached.</t>
        </is>
      </c>
    </row>
    <row r="14" ht="18" customHeight="1" s="254">
      <c r="A14" s="785" t="inlineStr"/>
      <c r="B14" s="784" t="inlineStr">
        <is>
          <t>Grey — computed. Locked. Reads your blue cells and the reference tabs.</t>
        </is>
      </c>
    </row>
    <row r="15" ht="18" customHeight="1" s="254">
      <c r="A15" s="786" t="inlineStr"/>
      <c r="B15" s="784" t="inlineStr">
        <is>
          <t>Green — a check that passes, or a total.</t>
        </is>
      </c>
    </row>
    <row r="16" ht="18" customHeight="1" s="254">
      <c r="A16" s="787" t="inlineStr"/>
      <c r="B16" s="784" t="inlineStr">
        <is>
          <t>Amber — a caution note worth reading before you fill the block above it.</t>
        </is>
      </c>
    </row>
    <row r="17" ht="18" customHeight="1" s="254">
      <c r="A17" s="788" t="inlineStr"/>
      <c r="B17" s="789" t="inlineStr">
        <is>
          <t>Teal band — a table header. The table's rows are below it.</t>
        </is>
      </c>
    </row>
    <row r="18" s="254"/>
    <row r="19">
      <c r="B19" s="779"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5"/>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26" customHeight="1" s="254">
      <c r="A1" s="790" t="inlineStr">
        <is>
          <t>DOCUMENT CONTROL</t>
        </is>
      </c>
      <c r="D1" s="791" t="n"/>
    </row>
    <row r="2" ht="56" customHeight="1" s="254">
      <c r="A2" s="792" t="inlineStr">
        <is>
          <t>Hardcoded. These values identify which generation of the template a returned file came from — never make them formulas.</t>
        </is>
      </c>
      <c r="B2" s="791" t="n"/>
      <c r="C2" s="791" t="n"/>
      <c r="D2" s="791" t="n"/>
    </row>
    <row r="3" s="254">
      <c r="A3" s="942" t="n"/>
      <c r="B3" s="942" t="n"/>
      <c r="C3" s="942" t="n"/>
      <c r="D3" s="942" t="n"/>
    </row>
    <row r="4" ht="19.75" customHeight="1" s="254">
      <c r="A4" s="794" t="inlineStr">
        <is>
          <t>Template version</t>
        </is>
      </c>
      <c r="B4" s="795" t="inlineStr">
        <is>
          <t>3.6.0</t>
        </is>
      </c>
      <c r="C4" s="791" t="n"/>
      <c r="D4" s="791" t="n"/>
    </row>
    <row r="5" ht="16" customHeight="1" s="254">
      <c r="A5" s="794" t="inlineStr">
        <is>
          <t>Released</t>
        </is>
      </c>
      <c r="B5" s="796" t="inlineStr">
        <is>
          <t>2026-09-14</t>
        </is>
      </c>
      <c r="C5" s="791" t="n"/>
      <c r="D5" s="791" t="n"/>
    </row>
    <row r="6" ht="16" customHeight="1" s="254">
      <c r="A6" s="794" t="inlineStr">
        <is>
          <t>Template name</t>
        </is>
      </c>
      <c r="B6" s="796" t="inlineStr">
        <is>
          <t>EVSE Project Intake</t>
        </is>
      </c>
      <c r="C6" s="791" t="n"/>
      <c r="D6" s="791" t="n"/>
    </row>
    <row r="7" ht="16" customHeight="1" s="254">
      <c r="A7" s="794" t="inlineStr">
        <is>
          <t>Issued by</t>
        </is>
      </c>
      <c r="B7" s="796" t="inlineStr">
        <is>
          <t>Zero Impact Energy</t>
        </is>
      </c>
      <c r="C7" s="791" t="n"/>
      <c r="D7" s="791" t="n"/>
    </row>
    <row r="8" ht="31" customHeight="1" s="254">
      <c r="A8" s="794" t="inlineStr">
        <is>
          <t>Template content hash</t>
        </is>
      </c>
      <c r="B8" s="795" t="inlineStr">
        <is>
          <t>3ae762acca5ac36d</t>
        </is>
      </c>
      <c r="C8" s="797" t="inlineStr">
        <is>
          <t>The hash of the BLANK template this file was built from, frozen at its release. It does not change when you fill the sheet in.</t>
        </is>
      </c>
      <c r="D8" s="943" t="n"/>
    </row>
    <row r="9" ht="19.75" customHeight="1" s="254">
      <c r="A9" s="798" t="inlineStr">
        <is>
          <t>Completed by — fill these in</t>
        </is>
      </c>
      <c r="B9" s="791" t="n"/>
      <c r="C9" s="791" t="n"/>
      <c r="D9" s="791" t="n"/>
    </row>
    <row r="10" ht="16" customHeight="1" s="254">
      <c r="A10" s="781" t="inlineStr">
        <is>
          <t>This file version</t>
        </is>
      </c>
      <c r="B10" s="799" t="inlineStr">
        <is>
          <t>Rev A</t>
        </is>
      </c>
      <c r="C10" s="800" t="inlineStr">
        <is>
          <t>e.g. Rev A, Rev B — increment each time you send it back</t>
        </is>
      </c>
      <c r="D10" s="943" t="n"/>
    </row>
    <row r="11" ht="16" customHeight="1" s="254">
      <c r="A11" s="781" t="inlineStr">
        <is>
          <t>Date completed</t>
        </is>
      </c>
      <c r="B11" s="947" t="n">
        <v>46267</v>
      </c>
      <c r="C11" s="791" t="n"/>
      <c r="D11" s="791" t="n"/>
    </row>
    <row r="12" ht="16" customHeight="1" s="254">
      <c r="A12" s="781" t="inlineStr">
        <is>
          <t>Completed by</t>
        </is>
      </c>
      <c r="B12" s="799" t="inlineStr">
        <is>
          <t>Test CPM</t>
        </is>
      </c>
      <c r="C12" s="791" t="n"/>
      <c r="D12" s="791" t="n"/>
    </row>
    <row r="13" ht="16" customHeight="1" s="254">
      <c r="A13" s="781" t="inlineStr">
        <is>
          <t>Project reference</t>
        </is>
      </c>
      <c r="B13" s="799" t="inlineStr">
        <is>
          <t>BW-TEST-001</t>
        </is>
      </c>
      <c r="C13" s="791" t="n"/>
      <c r="D13" s="791" t="n"/>
    </row>
    <row r="14" ht="16" customHeight="1" s="254">
      <c r="A14" s="781" t="inlineStr">
        <is>
          <t>Notes on this revision</t>
        </is>
      </c>
      <c r="B14" s="799" t="inlineStr">
        <is>
          <t>Fixture for the importer test</t>
        </is>
      </c>
      <c r="C14" s="800" t="inlineStr">
        <is>
          <t>What changed since the last version you sent</t>
        </is>
      </c>
      <c r="D14" s="791" t="n"/>
    </row>
    <row r="15" ht="31" customHeight="1" s="254">
      <c r="A15" s="781" t="inlineStr">
        <is>
          <t>File content hash</t>
        </is>
      </c>
      <c r="B15" s="791" t="inlineStr">
        <is>
          <t>3ae762acca5ac36d</t>
        </is>
      </c>
      <c r="C15" s="797" t="inlineStr">
        <is>
          <t>A hash of THIS workbook. It changes every time someone edits it, and it is what a model records so you can tell whether the model was built from the file in front of you.</t>
        </is>
      </c>
      <c r="D15" s="943" t="n"/>
    </row>
    <row r="16" ht="19.75" customHeight="1" s="254">
      <c r="A16" s="798" t="inlineStr">
        <is>
          <t>Changelog</t>
        </is>
      </c>
      <c r="B16" s="791" t="n"/>
      <c r="C16" s="791" t="n"/>
      <c r="D16" s="791" t="n"/>
    </row>
    <row r="17" ht="16" customHeight="1" s="254">
      <c r="A17" s="801" t="inlineStr">
        <is>
          <t>Version</t>
        </is>
      </c>
      <c r="B17" s="801" t="inlineStr">
        <is>
          <t>Released</t>
        </is>
      </c>
      <c r="C17" s="801" t="inlineStr">
        <is>
          <t>What changed</t>
        </is>
      </c>
      <c r="D17" s="791" t="n"/>
    </row>
    <row r="18" ht="31" customHeight="1" s="254">
      <c r="A18" s="802" t="inlineStr">
        <is>
          <t>1.0.0</t>
        </is>
      </c>
      <c r="B18" s="803" t="inlineStr">
        <is>
          <t>2026-08-26</t>
        </is>
      </c>
      <c r="C18" s="803" t="inlineStr">
        <is>
          <t>Initial release — project, equipment, electrical, construction, commercial, revenue and carbon intake with live consistency checks.</t>
        </is>
      </c>
      <c r="D18" s="943" t="n"/>
    </row>
    <row r="19" ht="16" customHeight="1" s="254">
      <c r="A19" s="802" t="inlineStr">
        <is>
          <t>1.1.0</t>
        </is>
      </c>
      <c r="B19" s="803" t="inlineStr">
        <is>
          <t>2026-08-26</t>
        </is>
      </c>
      <c r="C19" s="803" t="inlineStr">
        <is>
          <t>Deal structure knobs and the override register. Base case unchanged at zero.</t>
        </is>
      </c>
      <c r="D19" s="943" t="n"/>
    </row>
    <row r="20" ht="31" customHeight="1" s="254">
      <c r="A20" s="802" t="inlineStr">
        <is>
          <t>1.2.0</t>
        </is>
      </c>
      <c r="B20" s="803" t="inlineStr">
        <is>
          <t>2026-08-26</t>
        </is>
      </c>
      <c r="C20" s="803" t="inlineStr">
        <is>
          <t>PG&amp;E Rule 29 interconnection capture. Electrical materials costed independently of the EVSE price book.</t>
        </is>
      </c>
      <c r="D20" s="943" t="n"/>
    </row>
    <row r="21" ht="31" customHeight="1" s="254">
      <c r="A21" s="802" t="inlineStr">
        <is>
          <t>1.3.0</t>
        </is>
      </c>
      <c r="B21" s="803" t="inlineStr">
        <is>
          <t>2026-08-26</t>
        </is>
      </c>
      <c r="C21" s="803" t="inlineStr">
        <is>
          <t>Utility rate engine across PG&amp;E, SCE and SDG&amp;E. Market benchmarks. Demand subscription ramps with concurrency.</t>
        </is>
      </c>
      <c r="D21" s="943" t="n"/>
    </row>
    <row r="22" ht="31" customHeight="1" s="254">
      <c r="A22" s="802" t="inlineStr">
        <is>
          <t>1.4.0</t>
        </is>
      </c>
      <c r="B22" s="803" t="inlineStr">
        <is>
          <t>2026-08-26</t>
        </is>
      </c>
      <c r="C22" s="803" t="inlineStr">
        <is>
          <t>Scope of supply controls — each service line can be provided by us, by others, or not required. Document control added.</t>
        </is>
      </c>
      <c r="D22" s="943" t="n"/>
    </row>
    <row r="23" ht="31" customHeight="1" s="254">
      <c r="A23" s="802" t="inlineStr">
        <is>
          <t>1.5.0</t>
        </is>
      </c>
      <c r="B23" s="803" t="inlineStr">
        <is>
          <t>2026-08-26</t>
        </is>
      </c>
      <c r="C23" s="803" t="inlineStr">
        <is>
          <t>Mixed-fleet fix — accessories no longer counted as charging units, and the placement check compares against DC cabinets only.</t>
        </is>
      </c>
      <c r="D23" s="943" t="n"/>
    </row>
    <row r="24" ht="31" customHeight="1" s="254">
      <c r="A24" s="802" t="inlineStr">
        <is>
          <t>1.6.0</t>
        </is>
      </c>
      <c r="B24" s="803" t="inlineStr">
        <is>
          <t>2026-08-26</t>
        </is>
      </c>
      <c r="C24" s="803" t="inlineStr">
        <is>
          <t>Description was not recorded at the time. The change sits between the mixed-fleet fix (1.5.0) and the rip-and-replace capability (1.7.0).</t>
        </is>
      </c>
      <c r="D24" s="943" t="n"/>
    </row>
    <row r="25" ht="56" customHeight="1" s="254">
      <c r="A25" s="802" t="inlineStr">
        <is>
          <t>1.7.0</t>
        </is>
      </c>
      <c r="B25" s="803" t="inlineStr">
        <is>
          <t>2026-08-26</t>
        </is>
      </c>
      <c r="C25" s="80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81" customHeight="1" s="254">
      <c r="A26" s="802" t="inlineStr">
        <is>
          <t>1.8.0</t>
        </is>
      </c>
      <c r="B26" s="803" t="inlineStr">
        <is>
          <t>2026-08-26</t>
        </is>
      </c>
      <c r="C26" s="80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6" customHeight="1" s="254">
      <c r="A27" s="802" t="inlineStr">
        <is>
          <t>1.9.0</t>
        </is>
      </c>
      <c r="B27" s="803" t="inlineStr">
        <is>
          <t>2026-08-27</t>
        </is>
      </c>
      <c r="C27" s="80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81" customHeight="1" s="254">
      <c r="A28" s="802" t="inlineStr">
        <is>
          <t>1.10.0</t>
        </is>
      </c>
      <c r="B28" s="803" t="inlineStr">
        <is>
          <t>2026-08-27</t>
        </is>
      </c>
      <c r="C28" s="80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6" customHeight="1" s="254">
      <c r="A29" s="802" t="inlineStr">
        <is>
          <t>1.11.0</t>
        </is>
      </c>
      <c r="B29" s="803" t="inlineStr">
        <is>
          <t>2026-08-27</t>
        </is>
      </c>
      <c r="C29" s="80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6" customHeight="1" s="254">
      <c r="A30" s="802" t="inlineStr">
        <is>
          <t>1.12.0</t>
        </is>
      </c>
      <c r="B30" s="803" t="inlineStr">
        <is>
          <t>2026-08-27</t>
        </is>
      </c>
      <c r="C30" s="80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6" customHeight="1" s="254">
      <c r="A31" s="802" t="inlineStr">
        <is>
          <t>1.12.1</t>
        </is>
      </c>
      <c r="B31" s="803" t="inlineStr">
        <is>
          <t>2026-08-27</t>
        </is>
      </c>
      <c r="C31" s="80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6" customHeight="1" s="254">
      <c r="A32" s="802" t="inlineStr">
        <is>
          <t>1.13.0</t>
        </is>
      </c>
      <c r="B32" s="803" t="inlineStr">
        <is>
          <t>2026-08-27</t>
        </is>
      </c>
      <c r="C32" s="80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3.5" customHeight="1" s="254">
      <c r="A33" s="802" t="inlineStr">
        <is>
          <t>1.14.0</t>
        </is>
      </c>
      <c r="B33" s="803" t="inlineStr">
        <is>
          <t>2026-08-27</t>
        </is>
      </c>
      <c r="C33" s="80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8.5" customHeight="1" s="254">
      <c r="A34" s="802" t="inlineStr">
        <is>
          <t>2.0.0</t>
        </is>
      </c>
      <c r="B34" s="803" t="inlineStr">
        <is>
          <t>2026-08-28</t>
        </is>
      </c>
      <c r="C34" s="80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31" customHeight="1" s="254">
      <c r="A35" s="802" t="inlineStr">
        <is>
          <t>2.1.0</t>
        </is>
      </c>
      <c r="B35" s="803" t="inlineStr">
        <is>
          <t>2026-08-28</t>
        </is>
      </c>
      <c r="C35" s="80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81" customHeight="1" s="254">
      <c r="A36" s="802" t="inlineStr">
        <is>
          <t>2.1.1</t>
        </is>
      </c>
      <c r="B36" s="803" t="inlineStr">
        <is>
          <t>2026-08-28</t>
        </is>
      </c>
      <c r="C36" s="80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3.5" customHeight="1" s="254">
      <c r="A37" s="802" t="inlineStr">
        <is>
          <t>2.1.2</t>
        </is>
      </c>
      <c r="B37" s="803" t="inlineStr">
        <is>
          <t>2026-08-28</t>
        </is>
      </c>
      <c r="C37" s="803" t="inlineStr">
        <is>
          <t>Removed a duplicate hash row this script had created by matching only the pre-rename label — two hashes for one workbook, inside the mechanism built to stop exactly that. Both scripts now accept either label.</t>
        </is>
      </c>
      <c r="D37" s="943" t="n"/>
    </row>
    <row r="38" ht="156" customHeight="1" s="254">
      <c r="A38" s="802" t="inlineStr">
        <is>
          <t>2.2.0</t>
        </is>
      </c>
      <c r="B38" s="803" t="inlineStr">
        <is>
          <t>2026-08-28</t>
        </is>
      </c>
      <c r="C38" s="803"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5" customHeight="1" s="254">
      <c r="A39" s="802" t="inlineStr">
        <is>
          <t>2.5.0</t>
        </is>
      </c>
      <c r="B39" s="803" t="inlineStr">
        <is>
          <t>2026-08-28</t>
        </is>
      </c>
      <c r="C39" s="803"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8.5" customHeight="1" s="254">
      <c r="A40" s="802" t="inlineStr">
        <is>
          <t>2.6.0</t>
        </is>
      </c>
      <c r="B40" s="803" t="inlineStr">
        <is>
          <t>2026-08-28</t>
        </is>
      </c>
      <c r="C40" s="803"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6" customHeight="1" s="254">
      <c r="A41" s="802" t="inlineStr">
        <is>
          <t>2.7.0</t>
        </is>
      </c>
      <c r="B41" s="803" t="inlineStr">
        <is>
          <t>2026-08-28</t>
        </is>
      </c>
      <c r="C41" s="803"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8.5" customHeight="1" s="254">
      <c r="A42" s="802" t="inlineStr">
        <is>
          <t>2.7.1</t>
        </is>
      </c>
      <c r="B42" s="803" t="inlineStr">
        <is>
          <t>2026-08-28</t>
        </is>
      </c>
      <c r="C42" s="803"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8.5" customHeight="1" s="254">
      <c r="A43" s="802" t="inlineStr">
        <is>
          <t>2.7.2</t>
        </is>
      </c>
      <c r="B43" s="803" t="inlineStr">
        <is>
          <t>2026-08-28</t>
        </is>
      </c>
      <c r="C43" s="803"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6" customHeight="1" s="254">
      <c r="A44" s="802" t="inlineStr">
        <is>
          <t>2.8.0</t>
        </is>
      </c>
      <c r="B44" s="803" t="inlineStr">
        <is>
          <t>2026-08-29</t>
        </is>
      </c>
      <c r="C44" s="80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6" customHeight="1" s="254">
      <c r="A45" s="802" t="inlineStr">
        <is>
          <t>2.8.1</t>
        </is>
      </c>
      <c r="B45" s="803" t="inlineStr">
        <is>
          <t>2026-08-29</t>
        </is>
      </c>
      <c r="C45" s="80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6" customHeight="1" s="254">
      <c r="A46" s="802" t="inlineStr">
        <is>
          <t>2.9.0</t>
        </is>
      </c>
      <c r="B46" s="803" t="inlineStr">
        <is>
          <t>2026-08-29</t>
        </is>
      </c>
      <c r="C46" s="80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31" customHeight="1" s="254">
      <c r="A47" s="802" t="inlineStr">
        <is>
          <t>3.0.0</t>
        </is>
      </c>
      <c r="B47" s="803" t="inlineStr">
        <is>
          <t>2026-09-01</t>
        </is>
      </c>
      <c r="C47" s="80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791" t="n"/>
    </row>
    <row r="48" ht="268.5" customHeight="1" s="254">
      <c r="A48" s="802" t="inlineStr">
        <is>
          <t>3.1.0</t>
        </is>
      </c>
      <c r="B48" s="803" t="inlineStr">
        <is>
          <t>2026-09-03</t>
        </is>
      </c>
      <c r="C48" s="80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791" t="n"/>
    </row>
    <row r="49" ht="268.5" customHeight="1" s="254">
      <c r="A49" s="802" t="inlineStr">
        <is>
          <t>3.2.0</t>
        </is>
      </c>
      <c r="B49" s="802" t="inlineStr">
        <is>
          <t>2026-09-04</t>
        </is>
      </c>
      <c r="C49" s="802"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c r="D49" s="804" t="n"/>
    </row>
    <row r="50" ht="143.5" customHeight="1" s="254">
      <c r="A50" s="802" t="inlineStr">
        <is>
          <t>3.2.1</t>
        </is>
      </c>
      <c r="B50" s="802" t="inlineStr">
        <is>
          <t>2026-09-11</t>
        </is>
      </c>
      <c r="C50" s="802"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c r="D50" s="804" t="n"/>
    </row>
    <row r="51" ht="156" customHeight="1" s="254">
      <c r="A51" s="802" t="inlineStr">
        <is>
          <t>3.3.0</t>
        </is>
      </c>
      <c r="B51" s="802" t="inlineStr">
        <is>
          <t>2026-09-12</t>
        </is>
      </c>
      <c r="C51" s="802"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c r="D51" s="804" t="n"/>
    </row>
    <row r="52" ht="68.5" customHeight="1" s="254">
      <c r="A52" s="802" t="inlineStr">
        <is>
          <t>3.3.1</t>
        </is>
      </c>
      <c r="B52" s="802" t="inlineStr">
        <is>
          <t>2026-09-12</t>
        </is>
      </c>
      <c r="C52" s="802"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c r="D52" s="804" t="n"/>
    </row>
    <row r="53" ht="118.5" customHeight="1" s="254">
      <c r="A53" s="802" t="inlineStr">
        <is>
          <t>3.4.0</t>
        </is>
      </c>
      <c r="B53" s="802" t="inlineStr">
        <is>
          <t>2026-09-12</t>
        </is>
      </c>
      <c r="C53" s="802"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c r="D53" s="804" t="n"/>
    </row>
    <row r="54" ht="120" customHeight="1" s="254">
      <c r="A54" s="802" t="inlineStr">
        <is>
          <t>3.5.0</t>
        </is>
      </c>
      <c r="B54" s="802" t="inlineStr">
        <is>
          <t>2026-09-12</t>
        </is>
      </c>
      <c r="C54" s="944"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56" customHeight="1" s="254">
      <c r="A55" s="802" t="inlineStr">
        <is>
          <t>3.6.0</t>
        </is>
      </c>
      <c r="B55" s="802" t="inlineStr">
        <is>
          <t>2026-09-14</t>
        </is>
      </c>
      <c r="C55" s="944"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zoomScale="100" workbookViewId="0">
      <pane ySplit="4" topLeftCell="A5" activePane="bottomLeft" state="frozen"/>
      <selection pane="bottomLeft" activeCell="A1" sqref="A1"/>
    </sheetView>
  </sheetViews>
  <sheetFormatPr baseColWidth="8" defaultRowHeight="15"/>
  <cols>
    <col width="14" customWidth="1" style="254" min="1" max="1"/>
    <col width="14" customWidth="1" style="254" min="2" max="2"/>
    <col width="22" customWidth="1" style="254" min="3" max="3"/>
    <col width="90" customWidth="1" style="254" min="4" max="4"/>
  </cols>
  <sheetData>
    <row r="1" ht="26" customHeight="1" s="254">
      <c r="A1" s="805" t="inlineStr">
        <is>
          <t>PROJECT REVISION HISTORY</t>
        </is>
      </c>
    </row>
    <row r="2" ht="43.5" customHeight="1" s="254">
      <c r="A2" s="792"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6" customHeight="1" s="254">
      <c r="A3" s="804" t="n"/>
      <c r="B3" s="804" t="n"/>
      <c r="C3" s="804" t="n"/>
      <c r="D3" s="804" t="n"/>
    </row>
    <row r="4" ht="16" customHeight="1" s="254">
      <c r="A4" s="806" t="inlineStr">
        <is>
          <t>Rev</t>
        </is>
      </c>
      <c r="B4" s="806" t="inlineStr">
        <is>
          <t>Date</t>
        </is>
      </c>
      <c r="C4" s="806" t="inlineStr">
        <is>
          <t>By</t>
        </is>
      </c>
      <c r="D4" s="806" t="inlineStr">
        <is>
          <t>What changed — the facts that moved, the decisions taken, what is still open</t>
        </is>
      </c>
    </row>
    <row r="5" ht="16" customHeight="1" s="254">
      <c r="A5" s="807" t="n"/>
      <c r="B5" s="808" t="n"/>
      <c r="C5" s="807" t="n"/>
      <c r="D5" s="807" t="n"/>
    </row>
    <row r="6" ht="16" customHeight="1" s="254">
      <c r="A6" s="807" t="n"/>
      <c r="B6" s="808" t="n"/>
      <c r="C6" s="807" t="n"/>
      <c r="D6" s="807" t="n"/>
    </row>
    <row r="7" ht="16" customHeight="1" s="254">
      <c r="A7" s="807" t="n"/>
      <c r="B7" s="808" t="n"/>
      <c r="C7" s="807" t="n"/>
      <c r="D7" s="807" t="n"/>
    </row>
    <row r="8" ht="16" customHeight="1" s="254">
      <c r="A8" s="807" t="n"/>
      <c r="B8" s="808" t="n"/>
      <c r="C8" s="807" t="n"/>
      <c r="D8" s="807" t="n"/>
    </row>
    <row r="9" ht="16" customHeight="1" s="254">
      <c r="A9" s="807" t="n"/>
      <c r="B9" s="808" t="n"/>
      <c r="C9" s="807" t="n"/>
      <c r="D9" s="807" t="n"/>
    </row>
    <row r="10" ht="16" customHeight="1" s="254">
      <c r="A10" s="807" t="n"/>
      <c r="B10" s="808" t="n"/>
      <c r="C10" s="807" t="n"/>
      <c r="D10" s="807" t="n"/>
    </row>
    <row r="11" ht="16" customHeight="1" s="254">
      <c r="A11" s="807" t="n"/>
      <c r="B11" s="808" t="n"/>
      <c r="C11" s="807" t="n"/>
      <c r="D11" s="807" t="n"/>
    </row>
    <row r="12" ht="16" customHeight="1" s="254">
      <c r="A12" s="807" t="n"/>
      <c r="B12" s="808" t="n"/>
      <c r="C12" s="807" t="n"/>
      <c r="D12" s="807" t="n"/>
    </row>
    <row r="13" ht="16" customHeight="1" s="254">
      <c r="A13" s="807" t="n"/>
      <c r="B13" s="808" t="n"/>
      <c r="C13" s="807" t="n"/>
      <c r="D13" s="807" t="n"/>
    </row>
    <row r="14" ht="16" customHeight="1" s="254">
      <c r="A14" s="807" t="n"/>
      <c r="B14" s="808" t="n"/>
      <c r="C14" s="807" t="n"/>
      <c r="D14" s="807" t="n"/>
    </row>
    <row r="15" ht="16" customHeight="1" s="254">
      <c r="A15" s="807" t="n"/>
      <c r="B15" s="808" t="n"/>
      <c r="C15" s="807" t="n"/>
      <c r="D15" s="807" t="n"/>
    </row>
    <row r="16" ht="16" customHeight="1" s="254">
      <c r="A16" s="807" t="n"/>
      <c r="B16" s="808" t="n"/>
      <c r="C16" s="807" t="n"/>
      <c r="D16" s="807" t="n"/>
    </row>
    <row r="17" ht="16" customHeight="1" s="254">
      <c r="A17" s="804" t="n"/>
      <c r="B17" s="804" t="n"/>
      <c r="C17" s="804" t="n"/>
      <c r="D17" s="804" t="n"/>
    </row>
    <row r="18" ht="31" customHeight="1" s="254">
      <c r="A18" s="781" t="inlineStr">
        <is>
          <t>Revisions recorded</t>
        </is>
      </c>
      <c r="B18" s="809">
        <f>COUNTA($A$5:$A$16)</f>
        <v/>
      </c>
      <c r="C18" s="804" t="n"/>
      <c r="D18" s="804" t="n"/>
    </row>
    <row r="19" ht="31" customHeight="1" s="254">
      <c r="A19" s="781" t="inlineStr">
        <is>
          <t>Latest revision on this table</t>
        </is>
      </c>
      <c r="B19" s="810">
        <f>IF(COUNTA($A$5:$A$16)=0,"none yet",INDEX($A$5:$A$16,COUNTA($A$5:$A$16)))</f>
        <v/>
      </c>
      <c r="C19" s="804" t="n"/>
      <c r="D19" s="804" t="n"/>
    </row>
    <row r="20" ht="56" customHeight="1" s="254">
      <c r="A20" s="781" t="inlineStr">
        <is>
          <t>Matches "This file version" on the Version tab?</t>
        </is>
      </c>
      <c r="B20" s="810">
        <f>IF(COUNTA($A$5:$A$16)=0,"nothing recorded — add a row for this revision",IF(TRIM($B$19)=TRIM(Version!$B$10),"OK — the Version tab and this table agree","MISMATCH — the Version tab says "&amp;Version!$B$10&amp;" and the latest row here is "&amp;$B$19))</f>
        <v/>
      </c>
      <c r="C20" s="804" t="n"/>
      <c r="D20" s="804"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2"/>
    <col width="14" customWidth="1" style="254" min="2" max="2"/>
    <col width="46" customWidth="1" style="253" min="3" max="3"/>
    <col width="10" customWidth="1" style="253" min="4" max="6"/>
    <col width="12" customWidth="1" style="254" min="5" max="5"/>
    <col width="12" customWidth="1" style="254" min="6" max="6"/>
  </cols>
  <sheetData>
    <row r="1" ht="26" customHeight="1" s="254">
      <c r="A1" s="790" t="inlineStr">
        <is>
          <t>EVSE PROJECT INTAKE</t>
        </is>
      </c>
    </row>
    <row r="2" ht="43.5" customHeight="1" s="254">
      <c r="A2" s="792" t="inlineStr">
        <is>
          <t>Zero Impact Energy — one form, one project. Fill the blue cells; everything else is derived.</t>
        </is>
      </c>
      <c r="B2" s="804" t="n"/>
      <c r="C2" s="804" t="n"/>
      <c r="D2" s="804" t="n"/>
      <c r="E2" s="804" t="n"/>
      <c r="F2" s="804" t="n"/>
    </row>
    <row r="3" ht="16" customHeight="1" s="254">
      <c r="A3" s="811" t="n"/>
      <c r="B3" s="804" t="n"/>
      <c r="C3" s="804" t="n"/>
      <c r="D3" s="804" t="n"/>
      <c r="E3" s="804" t="n"/>
      <c r="F3" s="804" t="n"/>
    </row>
    <row r="4" ht="19.75" customHeight="1" s="254">
      <c r="A4" s="798" t="inlineStr">
        <is>
          <t>How to use this workbook</t>
        </is>
      </c>
      <c r="B4" s="804" t="n"/>
      <c r="C4" s="804" t="n"/>
      <c r="D4" s="804" t="n"/>
      <c r="E4" s="804" t="n"/>
      <c r="F4" s="804" t="n"/>
    </row>
    <row r="5" ht="31" customHeight="1" s="254">
      <c r="A5" s="781" t="inlineStr">
        <is>
          <t>•</t>
        </is>
      </c>
      <c r="B5" s="781" t="inlineStr">
        <is>
          <t>Fill in every BLUE cell you can. Leave a cell blank rather than guessing — a blank is a question we will ask; a guess becomes a number in a proposal.</t>
        </is>
      </c>
    </row>
    <row r="6" ht="31" customHeight="1" s="254">
      <c r="A6" s="781" t="inlineStr">
        <is>
          <t>•</t>
        </is>
      </c>
      <c r="B6" s="781" t="inlineStr">
        <is>
          <t>YELLOW cells are key commercial assumptions. They have sensible defaults, but they drive the return — change them deliberately, not by habit.</t>
        </is>
      </c>
    </row>
    <row r="7" ht="31" customHeight="1" s="254">
      <c r="A7" s="781" t="inlineStr">
        <is>
          <t>•</t>
        </is>
      </c>
      <c r="B7" s="781" t="inlineStr">
        <is>
          <t>GREEN cells are live checks. They recalculate as you type. If a green cell turns into a warning, the sheet is telling you two of your inputs disagree.</t>
        </is>
      </c>
    </row>
    <row r="8" ht="31" customHeight="1" s="254">
      <c r="A8" s="781" t="inlineStr">
        <is>
          <t>•</t>
        </is>
      </c>
      <c r="B8" s="781" t="inlineStr">
        <is>
          <t>GREY tabs (Lists, PriceBook, RefData) are reference data. Do not edit them unless prices have actually changed.</t>
        </is>
      </c>
      <c r="D8" s="804" t="n"/>
      <c r="E8" s="804" t="n"/>
      <c r="F8" s="804" t="n"/>
    </row>
    <row r="9" ht="31" customHeight="1" s="254">
      <c r="A9" s="781" t="inlineStr">
        <is>
          <t>•</t>
        </is>
      </c>
      <c r="B9" s="781" t="inlineStr">
        <is>
          <t>When the form is complete, send the file back. Everything downstream — electrical sizing, materials, labour, revenue, carbon, financing, the proposal — is computed from these inputs alone.</t>
        </is>
      </c>
    </row>
    <row r="10" ht="16" customHeight="1" s="254">
      <c r="A10" s="811" t="n"/>
      <c r="B10" s="804" t="n"/>
      <c r="C10" s="804" t="n"/>
      <c r="D10" s="804" t="n"/>
      <c r="E10" s="804" t="n"/>
      <c r="F10" s="804" t="n"/>
    </row>
    <row r="11" ht="19.75" customHeight="1" s="254">
      <c r="A11" s="798" t="inlineStr">
        <is>
          <t>Cell legend</t>
        </is>
      </c>
      <c r="B11" s="804" t="n"/>
      <c r="C11" s="804" t="n"/>
      <c r="D11" s="804" t="n"/>
      <c r="E11" s="804" t="n"/>
      <c r="F11" s="804" t="n"/>
    </row>
    <row r="12" ht="16" customHeight="1" s="254">
      <c r="A12" s="801" t="inlineStr">
        <is>
          <t>Appearance</t>
        </is>
      </c>
      <c r="B12" s="801" t="inlineStr">
        <is>
          <t>Meaning</t>
        </is>
      </c>
      <c r="C12" s="801" t="inlineStr">
        <is>
          <t>What to do</t>
        </is>
      </c>
      <c r="D12" s="804" t="n"/>
      <c r="E12" s="804" t="n"/>
      <c r="F12" s="804" t="n"/>
    </row>
    <row r="13" ht="16" customHeight="1" s="254">
      <c r="A13" s="812" t="inlineStr">
        <is>
          <t>Blue fill, blue text</t>
        </is>
      </c>
      <c r="B13" s="796" t="inlineStr">
        <is>
          <t>Human input</t>
        </is>
      </c>
      <c r="C13" s="796" t="inlineStr">
        <is>
          <t>Fill it in</t>
        </is>
      </c>
      <c r="D13" s="804" t="n"/>
      <c r="E13" s="804" t="n"/>
      <c r="F13" s="804" t="n"/>
    </row>
    <row r="14" ht="31" customHeight="1" s="254">
      <c r="A14" s="813" t="inlineStr">
        <is>
          <t>Yellow fill, blue bold</t>
        </is>
      </c>
      <c r="B14" s="796" t="inlineStr">
        <is>
          <t>Key commercial assumption</t>
        </is>
      </c>
      <c r="C14" s="796" t="inlineStr">
        <is>
          <t>Review the default, change deliberately</t>
        </is>
      </c>
      <c r="D14" s="804" t="n"/>
      <c r="E14" s="804" t="n"/>
      <c r="F14" s="804" t="n"/>
    </row>
    <row r="15" ht="31" customHeight="1" s="254">
      <c r="A15" s="812" t="inlineStr">
        <is>
          <t>Green fill, green text</t>
        </is>
      </c>
      <c r="B15" s="796" t="inlineStr">
        <is>
          <t>Live check / derived</t>
        </is>
      </c>
      <c r="C15" s="796" t="inlineStr">
        <is>
          <t>Read it — never type over it</t>
        </is>
      </c>
      <c r="D15" s="804" t="n"/>
      <c r="E15" s="804" t="n"/>
      <c r="F15" s="804" t="n"/>
    </row>
    <row r="16" ht="16" customHeight="1" s="254">
      <c r="A16" s="813" t="inlineStr">
        <is>
          <t>Grey</t>
        </is>
      </c>
      <c r="B16" s="796" t="inlineStr">
        <is>
          <t>Reference data</t>
        </is>
      </c>
      <c r="C16" s="796" t="inlineStr">
        <is>
          <t>Leave alone</t>
        </is>
      </c>
      <c r="D16" s="804" t="n"/>
      <c r="E16" s="804" t="n"/>
      <c r="F16" s="804" t="n"/>
    </row>
    <row r="17" ht="16" customHeight="1" s="254">
      <c r="A17" s="811" t="n"/>
      <c r="B17" s="804" t="n"/>
      <c r="C17" s="804" t="n"/>
      <c r="D17" s="804" t="n"/>
      <c r="E17" s="804" t="n"/>
      <c r="F17" s="804" t="n"/>
    </row>
    <row r="18" ht="19.75" customHeight="1" s="254">
      <c r="A18" s="798" t="inlineStr">
        <is>
          <t>Tabs, in the order you should fill them</t>
        </is>
      </c>
      <c r="B18" s="804" t="n"/>
      <c r="C18" s="804" t="n"/>
      <c r="D18" s="804" t="n"/>
      <c r="E18" s="804" t="n"/>
      <c r="F18" s="804" t="n"/>
    </row>
    <row r="19" ht="56" customHeight="1" s="254">
      <c r="A19" s="794" t="inlineStr">
        <is>
          <t>1_Project</t>
        </is>
      </c>
      <c r="B19" s="781" t="inlineStr">
        <is>
          <t>Who, where, which utility, and how the site is accessed</t>
        </is>
      </c>
      <c r="C19" s="804" t="n"/>
      <c r="D19" s="804" t="n"/>
      <c r="E19" s="804" t="n"/>
      <c r="F19" s="804" t="n"/>
    </row>
    <row r="20" ht="56" customHeight="1" s="254">
      <c r="A20" s="794" t="inlineStr">
        <is>
          <t>2_Equipment</t>
        </is>
      </c>
      <c r="B20" s="781" t="inlineStr">
        <is>
          <t>What is being sold — pick SKUs from the price book</t>
        </is>
      </c>
      <c r="C20" s="804" t="n"/>
      <c r="D20" s="804" t="n"/>
      <c r="E20" s="804" t="n"/>
      <c r="F20" s="804" t="n"/>
    </row>
    <row r="21" ht="31" customHeight="1" s="254">
      <c r="A21" s="794" t="inlineStr">
        <is>
          <t>3_Electrical</t>
        </is>
      </c>
      <c r="B21" s="781" t="inlineStr">
        <is>
          <t>Distances, wire, existing service. Drives every electrical cost.</t>
        </is>
      </c>
      <c r="D21" s="804" t="n"/>
      <c r="E21" s="804" t="n"/>
      <c r="F21" s="804" t="n"/>
    </row>
    <row r="22" ht="56" customHeight="1" s="254">
      <c r="A22" s="794" t="inlineStr">
        <is>
          <t>4_Construction</t>
        </is>
      </c>
      <c r="B22" s="781" t="inlineStr">
        <is>
          <t>Site works, labour days, ADA, permits, rentals</t>
        </is>
      </c>
      <c r="C22" s="804" t="n"/>
      <c r="D22" s="804" t="n"/>
      <c r="E22" s="804" t="n"/>
      <c r="F22" s="804" t="n"/>
    </row>
    <row r="23" ht="56" customHeight="1" s="254">
      <c r="A23" s="794" t="inlineStr">
        <is>
          <t>5_Commercial</t>
        </is>
      </c>
      <c r="B23" s="781" t="inlineStr">
        <is>
          <t>Discounts, financing terms, service and network term</t>
        </is>
      </c>
      <c r="C23" s="804" t="n"/>
      <c r="D23" s="804" t="n"/>
      <c r="E23" s="804" t="n"/>
      <c r="F23" s="804" t="n"/>
    </row>
    <row r="24" ht="43.5" customHeight="1" s="254">
      <c r="A24" s="794" t="inlineStr">
        <is>
          <t>6_Revenue</t>
        </is>
      </c>
      <c r="B24" s="781" t="inlineStr">
        <is>
          <t>Pricing, utilisation, ramp and growth</t>
        </is>
      </c>
      <c r="C24" s="804" t="n"/>
      <c r="D24" s="804" t="n"/>
      <c r="E24" s="804" t="n"/>
      <c r="F24" s="804" t="n"/>
    </row>
    <row r="25" ht="56" customHeight="1" s="254">
      <c r="A25" s="794" t="inlineStr">
        <is>
          <t>7_Carbon</t>
        </is>
      </c>
      <c r="B25" s="781" t="inlineStr">
        <is>
          <t>FCI credit rate, aggregator, eligibility, grants</t>
        </is>
      </c>
      <c r="C25" s="804" t="n"/>
      <c r="D25" s="804" t="n"/>
      <c r="E25" s="804" t="n"/>
      <c r="F25" s="804" t="n"/>
    </row>
    <row r="26" ht="16" customHeight="1" s="254">
      <c r="A26" s="811" t="n"/>
      <c r="B26" s="804" t="n"/>
      <c r="C26" s="804" t="n"/>
      <c r="D26" s="804" t="n"/>
      <c r="E26" s="804" t="n"/>
      <c r="F26" s="804" t="n"/>
    </row>
    <row r="27" ht="31" customHeight="1" s="254">
      <c r="A27" s="794" t="inlineStr">
        <is>
          <t>8_Deal_Structure</t>
        </is>
      </c>
      <c r="B27" s="781" t="inlineStr">
        <is>
          <t>Optional. Knobs for trading price against a share of credits or revenue.</t>
        </is>
      </c>
      <c r="D27" s="804" t="n"/>
      <c r="E27" s="804" t="n"/>
      <c r="F27" s="804" t="n"/>
    </row>
    <row r="28" ht="31" customHeight="1" s="254">
      <c r="A28" s="794" t="inlineStr">
        <is>
          <t>9_Overrides</t>
        </is>
      </c>
      <c r="B28" s="781" t="inlineStr">
        <is>
          <t>Optional. Force any derived value when you have a quote or a measurement.</t>
        </is>
      </c>
      <c r="D28" s="804" t="n"/>
      <c r="E28" s="804" t="n"/>
      <c r="F28" s="804" t="n"/>
    </row>
    <row r="29" ht="16" customHeight="1" s="254">
      <c r="A29" s="811" t="n"/>
      <c r="B29" s="804" t="n"/>
      <c r="C29" s="804" t="n"/>
      <c r="D29" s="804" t="n"/>
      <c r="E29" s="804" t="n"/>
      <c r="F29" s="804" t="n"/>
    </row>
    <row r="30" ht="16" customHeight="1" s="254">
      <c r="A30" s="794" t="inlineStr">
        <is>
          <t>Version</t>
        </is>
      </c>
      <c r="B30" s="781" t="inlineStr">
        <is>
          <t>Template 1.4.0, released 2026-08-26 — see the Version tab</t>
        </is>
      </c>
      <c r="D30" s="804" t="n"/>
      <c r="E30" s="804" t="n"/>
      <c r="F30" s="804" t="n"/>
    </row>
    <row r="31" ht="16" customHeight="1" s="254">
      <c r="A31" s="811" t="n"/>
      <c r="B31" s="804" t="n"/>
      <c r="C31" s="804" t="n"/>
      <c r="D31" s="804" t="n"/>
      <c r="E31" s="804" t="n"/>
      <c r="F31" s="804" t="n"/>
    </row>
    <row r="32" ht="19.75" customHeight="1" s="254">
      <c r="A32" s="798" t="inlineStr">
        <is>
          <t>Replacement projects</t>
        </is>
      </c>
      <c r="B32" s="804" t="n"/>
      <c r="C32" s="804" t="n"/>
      <c r="D32" s="804" t="n"/>
      <c r="E32" s="804" t="n"/>
      <c r="F32" s="804" t="n"/>
    </row>
    <row r="33" ht="56" customHeight="1" s="254">
      <c r="A33" s="781" t="inlineStr">
        <is>
          <t>•</t>
        </is>
      </c>
      <c r="B33" s="781"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804" t="n"/>
      <c r="F33" s="804" t="n"/>
    </row>
    <row r="34" ht="43.5" customHeight="1" s="254">
      <c r="A34" s="781" t="inlineStr">
        <is>
          <t>•</t>
        </is>
      </c>
      <c r="B34" s="781" t="inlineStr">
        <is>
          <t>Set the project type on the Existing tab section A first — every section header on that tab then says whether it applies, and every check keys off it.</t>
        </is>
      </c>
      <c r="E34" s="804" t="n"/>
      <c r="F34" s="804" t="n"/>
    </row>
    <row r="35" ht="56" customHeight="1" s="254">
      <c r="A35" s="781" t="inlineStr">
        <is>
          <t>•</t>
        </is>
      </c>
      <c r="B35" s="781" t="inlineStr">
        <is>
          <t>Section B is the register that decides the cost. Marking the service, feeder, switchgear and conduit as RETAIN removes most of the electrical and civil scope; the Electrical and Construction tabs then tell you exactly which lines to zero.</t>
        </is>
      </c>
      <c r="E35" s="804" t="n"/>
      <c r="F35" s="804" t="n"/>
    </row>
    <row r="36" ht="56" customHeight="1" s="254">
      <c r="A36" s="781" t="inlineStr">
        <is>
          <t>•</t>
        </is>
      </c>
      <c r="B36" s="781" t="inlineStr">
        <is>
          <t>Section E is the most valuable page in the whole intake. Twelve months of metered history beats every market assumption on the Revenue tab, and twenty-four months beats twelve. Enter outage months as they happened — do not smooth them.</t>
        </is>
      </c>
      <c r="E36" s="804" t="n"/>
      <c r="F36" s="804" t="n"/>
    </row>
    <row r="37" ht="43.5" customHeight="1" s="254">
      <c r="A37" s="781" t="inlineStr">
        <is>
          <t>•</t>
        </is>
      </c>
      <c r="B37" s="781" t="inlineStr">
        <is>
          <t>Sections F and G turn the old installation into a projection: availability recovered, ports added, connector coverage widened and power increased, each with its own capture factor you can argue with.</t>
        </is>
      </c>
      <c r="E37" s="804" t="n"/>
      <c r="F37" s="804" t="n"/>
    </row>
    <row r="38" ht="43.5" customHeight="1" s="254">
      <c r="A38" s="781" t="inlineStr">
        <is>
          <t>•</t>
        </is>
      </c>
      <c r="B38" s="781" t="inlineStr">
        <is>
          <t>Section H is the removal scope. It is zero on a greenfield or add-load project and real money on a replacement. Section I is the capacity test for any site that keeps its service.</t>
        </is>
      </c>
      <c r="E38" s="804" t="n"/>
      <c r="F38" s="804" t="n"/>
    </row>
    <row r="39" ht="31" customHeight="1" s="254">
      <c r="A39" s="781" t="inlineStr">
        <is>
          <t>•</t>
        </is>
      </c>
      <c r="B39" s="781" t="inlineStr">
        <is>
          <t>Set the revenue basis at the foot of the Revenue tab to "Historical actuals" on any replacement site with twelve or more months of data.</t>
        </is>
      </c>
      <c r="E39" s="804" t="n"/>
      <c r="F39" s="804" t="n"/>
    </row>
    <row r="40" ht="16" customHeight="1" s="254">
      <c r="A40" s="811" t="n"/>
      <c r="B40" s="804" t="n"/>
      <c r="C40" s="804" t="n"/>
      <c r="D40" s="804" t="n"/>
      <c r="E40" s="804" t="n"/>
      <c r="F40" s="804" t="n"/>
    </row>
    <row r="41" ht="19.75" customHeight="1" s="254">
      <c r="A41" s="798" t="inlineStr">
        <is>
          <t>Choosing the utility</t>
        </is>
      </c>
      <c r="B41" s="804" t="n"/>
      <c r="C41" s="804" t="n"/>
      <c r="D41" s="804" t="n"/>
      <c r="E41" s="804" t="n"/>
      <c r="F41" s="804" t="n"/>
    </row>
    <row r="42" ht="56" customHeight="1" s="254">
      <c r="A42" s="781" t="inlineStr">
        <is>
          <t>•</t>
        </is>
      </c>
      <c r="B42" s="781" t="inlineStr">
        <is>
          <t>Pick the DELIVERY utility on the Project tab — the one that owns the wires and sets the tariff. If the site buys generation from a community choice aggregator, still pick the delivery utility; the CCA is a separate field below it.</t>
        </is>
      </c>
      <c r="E42" s="804" t="n"/>
      <c r="F42" s="804" t="n"/>
    </row>
    <row r="43" ht="43.5" customHeight="1" s="254">
      <c r="A43" s="781" t="inlineStr">
        <is>
          <t>•</t>
        </is>
      </c>
      <c r="B43" s="781" t="inlineStr">
        <is>
          <t>A CCA changes only the generation cents per kWh. Eligibility, time-of-use periods, the demand subscription and every delivery charge stay with the utility. Build the bill from the delivery tariff and substitute one line.</t>
        </is>
      </c>
      <c r="E43" s="804" t="n"/>
      <c r="F43" s="804" t="n"/>
    </row>
    <row r="44" ht="56" customHeight="1" s="254">
      <c r="A44" s="781" t="inlineStr">
        <is>
          <t>•</t>
        </is>
      </c>
      <c r="B44" s="781" t="inlineStr">
        <is>
          <t>Rule 29 exists only at investor-owned utilities. A municipal utility, irrigation district or cooperative has its own line-extension policy and the cost split can be completely different — do not carry a Rule 29 allowance on a POU site.</t>
        </is>
      </c>
      <c r="E44" s="804" t="n"/>
      <c r="F44" s="804" t="n"/>
    </row>
    <row r="45" ht="56" customHeight="1" s="254">
      <c r="A45" s="781" t="inlineStr">
        <is>
          <t>•</t>
        </is>
      </c>
      <c r="B45" s="781"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804" t="n"/>
      <c r="F45" s="804" t="n"/>
    </row>
    <row r="46" ht="56" customHeight="1" s="254">
      <c r="A46" s="781" t="inlineStr">
        <is>
          <t>•</t>
        </is>
      </c>
      <c r="B46" s="781" t="inlineStr">
        <is>
          <t>Whether a utility has an EV tariff at all is often worth more than the cents per kWh. A site on a utility with no EV rate pays full demand charges on a general commercial schedule, which at low utilisation dominates the bill.</t>
        </is>
      </c>
      <c r="E46" s="804" t="n"/>
      <c r="F46" s="804" t="n"/>
    </row>
    <row r="47" ht="16" customHeight="1" s="254">
      <c r="A47" s="811" t="n"/>
      <c r="B47" s="804" t="n"/>
      <c r="C47" s="804" t="n"/>
      <c r="D47" s="804" t="n"/>
      <c r="E47" s="804" t="n"/>
      <c r="F47" s="804" t="n"/>
    </row>
    <row r="48" ht="16" customHeight="1" s="254">
      <c r="A48" s="794" t="inlineStr">
        <is>
          <t>Returning this workbook</t>
        </is>
      </c>
      <c r="B48" s="804" t="n"/>
      <c r="C48" s="804" t="n"/>
      <c r="D48" s="804" t="n"/>
      <c r="E48" s="804" t="n"/>
      <c r="F48" s="804" t="n"/>
    </row>
    <row r="49" ht="31" customHeight="1" s="254">
      <c r="A49" s="781" t="inlineStr">
        <is>
          <t>•</t>
        </is>
      </c>
      <c r="B49" s="814" t="inlineStr">
        <is>
          <t>Send the whole workbook back, not extracts. The version tab is how we know which generation of questions you answered.</t>
        </is>
      </c>
      <c r="D49" s="804" t="n"/>
      <c r="E49" s="804" t="n"/>
      <c r="F49" s="804" t="n"/>
    </row>
    <row r="50" ht="31" customHeight="1" s="254">
      <c r="A50" s="781" t="inlineStr">
        <is>
          <t>•</t>
        </is>
      </c>
      <c r="B50" s="814" t="inlineStr">
        <is>
          <t>If you are returning a file built on an older template, say so in Notes — some fields will have moved.</t>
        </is>
      </c>
      <c r="D50" s="804" t="n"/>
      <c r="E50" s="804" t="n"/>
      <c r="F50" s="804"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1 · PROJECT AND SITE</t>
        </is>
      </c>
    </row>
    <row r="2" ht="31" customHeight="1" s="254">
      <c r="A2" s="792" t="inlineStr">
        <is>
          <t>Identity, location, utility and access policy.</t>
        </is>
      </c>
      <c r="B2" s="804" t="n"/>
      <c r="C2" s="804" t="n"/>
      <c r="D2" s="804" t="n"/>
      <c r="E2" s="804" t="n"/>
      <c r="F2" s="804" t="n"/>
    </row>
    <row r="3" ht="16" customHeight="1" s="254">
      <c r="A3" s="811" t="n"/>
      <c r="B3" s="804" t="n"/>
      <c r="C3" s="804" t="n"/>
      <c r="D3" s="804" t="n"/>
      <c r="E3" s="804" t="n"/>
      <c r="F3" s="804" t="n"/>
    </row>
    <row r="4" ht="19.75" customHeight="1" s="254">
      <c r="A4" s="798" t="inlineStr">
        <is>
          <t>Client</t>
        </is>
      </c>
      <c r="B4" s="804" t="n"/>
      <c r="C4" s="804" t="n"/>
      <c r="D4" s="804" t="n"/>
      <c r="E4" s="804" t="n"/>
      <c r="F4" s="804" t="n"/>
    </row>
    <row r="5" ht="16" customHeight="1" s="254">
      <c r="A5" s="781" t="inlineStr">
        <is>
          <t>Client legal name</t>
        </is>
      </c>
      <c r="B5" s="799" t="inlineStr">
        <is>
          <t>Best Western Hawthorne</t>
        </is>
      </c>
      <c r="C5" s="792" t="inlineStr">
        <is>
          <t>As it will appear on the proposal</t>
        </is>
      </c>
      <c r="D5" s="804" t="n"/>
      <c r="E5" s="804" t="n"/>
      <c r="F5" s="804" t="n"/>
    </row>
    <row r="6" ht="16" customHeight="1" s="254">
      <c r="A6" s="781" t="inlineStr">
        <is>
          <t>Client contact name</t>
        </is>
      </c>
      <c r="B6" s="799" t="inlineStr">
        <is>
          <t>Mohammad Noorali</t>
        </is>
      </c>
      <c r="C6" s="804" t="n"/>
      <c r="D6" s="804" t="n"/>
      <c r="E6" s="804" t="n"/>
      <c r="F6" s="804" t="n"/>
    </row>
    <row r="7" ht="16" customHeight="1" s="254">
      <c r="A7" s="781" t="inlineStr">
        <is>
          <t>Contact title</t>
        </is>
      </c>
      <c r="B7" s="799" t="inlineStr">
        <is>
          <t>General Manager</t>
        </is>
      </c>
      <c r="C7" s="804" t="n"/>
      <c r="D7" s="804" t="n"/>
      <c r="E7" s="804" t="n"/>
      <c r="F7" s="804" t="n"/>
    </row>
    <row r="8" ht="16" customHeight="1" s="254">
      <c r="A8" s="781" t="inlineStr">
        <is>
          <t>Contact email</t>
        </is>
      </c>
      <c r="B8" s="799" t="inlineStr">
        <is>
          <t>gm@example.com</t>
        </is>
      </c>
      <c r="C8" s="804" t="n"/>
      <c r="D8" s="804" t="n"/>
      <c r="E8" s="804" t="n"/>
      <c r="F8" s="804" t="n"/>
    </row>
    <row r="9" ht="16" customHeight="1" s="254">
      <c r="A9" s="781" t="inlineStr">
        <is>
          <t>Contact phone</t>
        </is>
      </c>
      <c r="B9" s="799" t="inlineStr">
        <is>
          <t>310-555-0100</t>
        </is>
      </c>
      <c r="C9" s="804" t="n"/>
      <c r="D9" s="804" t="n"/>
      <c r="E9" s="804" t="n"/>
      <c r="F9" s="804" t="n"/>
    </row>
    <row r="10" ht="16" customHeight="1" s="254">
      <c r="A10" s="811" t="n"/>
      <c r="B10" s="804" t="n"/>
      <c r="C10" s="804" t="n"/>
      <c r="D10" s="804" t="n"/>
      <c r="E10" s="804" t="n"/>
      <c r="F10" s="804" t="n"/>
    </row>
    <row r="11" ht="19.75" customHeight="1" s="254">
      <c r="A11" s="798" t="inlineStr">
        <is>
          <t>Site</t>
        </is>
      </c>
      <c r="B11" s="804" t="n"/>
      <c r="C11" s="804" t="n"/>
      <c r="D11" s="804" t="n"/>
      <c r="E11" s="804" t="n"/>
      <c r="F11" s="804" t="n"/>
    </row>
    <row r="12" ht="16" customHeight="1" s="254">
      <c r="A12" s="781" t="inlineStr">
        <is>
          <t>Site name</t>
        </is>
      </c>
      <c r="B12" s="799" t="inlineStr">
        <is>
          <t>Best Western Hawthorne</t>
        </is>
      </c>
      <c r="C12" s="804" t="n"/>
      <c r="D12" s="804" t="n"/>
      <c r="E12" s="804" t="n"/>
      <c r="F12" s="804" t="n"/>
    </row>
    <row r="13" ht="16" customHeight="1" s="254">
      <c r="A13" s="781" t="inlineStr">
        <is>
          <t>Street address</t>
        </is>
      </c>
      <c r="B13" s="799" t="inlineStr">
        <is>
          <t>15000 Hawthorn Blvd</t>
        </is>
      </c>
      <c r="C13" s="804" t="n"/>
      <c r="D13" s="804" t="n"/>
      <c r="E13" s="804" t="n"/>
      <c r="F13" s="804" t="n"/>
    </row>
    <row r="14" ht="16" customHeight="1" s="254">
      <c r="A14" s="781" t="inlineStr">
        <is>
          <t>City / State / ZIP</t>
        </is>
      </c>
      <c r="B14" s="799" t="inlineStr">
        <is>
          <t>Hawthorne, CA 90260</t>
        </is>
      </c>
      <c r="C14" s="804" t="n"/>
      <c r="D14" s="804" t="n"/>
      <c r="E14" s="804" t="n"/>
      <c r="F14" s="804" t="n"/>
    </row>
    <row r="15" ht="16" customHeight="1" s="254">
      <c r="A15" s="781" t="inlineStr">
        <is>
          <t>County</t>
        </is>
      </c>
      <c r="B15" s="799" t="inlineStr">
        <is>
          <t>Los Angeles</t>
        </is>
      </c>
      <c r="C15" s="804" t="n"/>
      <c r="D15" s="804" t="n"/>
      <c r="E15" s="804" t="n"/>
      <c r="F15" s="804" t="n"/>
    </row>
    <row r="16" ht="16" customHeight="1" s="254">
      <c r="A16" s="781" t="inlineStr">
        <is>
          <t>Property type</t>
        </is>
      </c>
      <c r="B16" s="799" t="inlineStr">
        <is>
          <t>Hotel</t>
        </is>
      </c>
      <c r="C16" s="792" t="inlineStr">
        <is>
          <t>Retail, dealership, fleet depot, hotel, grocery…</t>
        </is>
      </c>
      <c r="D16" s="804" t="n"/>
      <c r="E16" s="804" t="n"/>
      <c r="F16" s="804" t="n"/>
    </row>
    <row r="17" ht="43.5" customHeight="1" s="254">
      <c r="A17" s="781" t="inlineStr">
        <is>
          <t>Project type</t>
        </is>
      </c>
      <c r="B17" s="815">
        <f>Existing!B5</f>
        <v/>
      </c>
      <c r="C17" s="816" t="inlineStr">
        <is>
          <t>Set this on the Existing tab. An add-load site completes the Existing tab sections B, D and I; a replacement site completes it in full; a greenfield site with a new service leaves it alone.</t>
        </is>
      </c>
    </row>
    <row r="18" ht="16" customHeight="1" s="254">
      <c r="A18" s="781" t="inlineStr">
        <is>
          <t>Existing chargers on site?</t>
        </is>
      </c>
      <c r="B18" s="815">
        <f>IF(Existing!B43=0,"None",TEXT(Existing!B43,"0")&amp;" ports across "&amp;TEXT(Existing!B42,"0")&amp;" units — see the Existing tab")</f>
        <v/>
      </c>
      <c r="C18" s="816" t="inlineStr">
        <is>
          <t>Derived from the equipment schedule on the Existing tab.</t>
        </is>
      </c>
      <c r="E18" s="804" t="n"/>
      <c r="F18" s="804" t="n"/>
    </row>
    <row r="19" ht="16" customHeight="1" s="254">
      <c r="A19" s="811" t="n"/>
      <c r="B19" s="804" t="n"/>
      <c r="C19" s="804" t="n"/>
      <c r="D19" s="804" t="n"/>
      <c r="E19" s="804" t="n"/>
      <c r="F19" s="804" t="n"/>
    </row>
    <row r="20" ht="19.75" customHeight="1" s="254">
      <c r="A20" s="798" t="inlineStr">
        <is>
          <t>Access and operating policy</t>
        </is>
      </c>
      <c r="B20" s="804" t="n"/>
      <c r="C20" s="804" t="n"/>
      <c r="D20" s="804" t="n"/>
      <c r="E20" s="804" t="n"/>
      <c r="F20" s="804" t="n"/>
    </row>
    <row r="21" ht="16" customHeight="1" s="254">
      <c r="A21" s="781" t="inlineStr">
        <is>
          <t>Public access</t>
        </is>
      </c>
      <c r="B21" s="799" t="inlineStr">
        <is>
          <t>Public 24/7</t>
        </is>
      </c>
      <c r="C21" s="792" t="inlineStr">
        <is>
          <t>Public 24/7 / Public during business hours / Restricted</t>
        </is>
      </c>
      <c r="D21" s="804" t="n"/>
      <c r="E21" s="804" t="n"/>
      <c r="F21" s="804" t="n"/>
    </row>
    <row r="22" ht="16" customHeight="1" s="254">
      <c r="A22" s="781" t="inlineStr">
        <is>
          <t>Hours open per day</t>
        </is>
      </c>
      <c r="B22" s="817" t="n">
        <v>24</v>
      </c>
      <c r="C22" s="792" t="inlineStr">
        <is>
          <t>CRITICAL: 24 unless access is genuinely gated</t>
        </is>
      </c>
      <c r="D22" s="804" t="n"/>
      <c r="E22" s="804" t="n"/>
      <c r="F22" s="804" t="n"/>
    </row>
    <row r="23" ht="16" customHeight="1" s="254">
      <c r="A23" s="781" t="inlineStr">
        <is>
          <t>Days open per year</t>
        </is>
      </c>
      <c r="B23" s="817" t="n">
        <v>365</v>
      </c>
      <c r="C23" s="792" t="inlineStr">
        <is>
          <t>Use 365 unless the site closes seasonally</t>
        </is>
      </c>
      <c r="D23" s="804" t="n"/>
      <c r="E23" s="804" t="n"/>
      <c r="F23" s="804" t="n"/>
    </row>
    <row r="24" ht="16" customHeight="1" s="254">
      <c r="A24" s="811" t="n"/>
      <c r="B24" s="804" t="n"/>
      <c r="C24" s="804" t="n"/>
      <c r="D24" s="804" t="n"/>
      <c r="E24" s="804" t="n"/>
      <c r="F24" s="804" t="n"/>
    </row>
    <row r="25" ht="19.75" customHeight="1" s="254">
      <c r="A25" s="798" t="inlineStr">
        <is>
          <t>Utility</t>
        </is>
      </c>
      <c r="B25" s="804" t="n"/>
      <c r="C25" s="804" t="n"/>
      <c r="D25" s="804" t="n"/>
      <c r="E25" s="804" t="n"/>
      <c r="F25" s="804" t="n"/>
    </row>
    <row r="26" ht="43.5" customHeight="1" s="254">
      <c r="A26" s="781" t="inlineStr">
        <is>
          <t>Electric utility (delivery)</t>
        </is>
      </c>
      <c r="B26" s="807" t="inlineStr">
        <is>
          <t>SCE — Southern California Edison</t>
        </is>
      </c>
      <c r="C26" s="816" t="inlineStr">
        <is>
          <t>Pick from the list. This is the utility that DELIVERS power and therefore sets the EV tariff — see the Utilities tab. If the site is served by a community choice aggregator, still pick the delivery utility here.</t>
        </is>
      </c>
    </row>
    <row r="27" ht="16" customHeight="1" s="254">
      <c r="A27" s="781" t="inlineStr">
        <is>
          <t>Current rate schedule</t>
        </is>
      </c>
      <c r="B27" s="799" t="inlineStr">
        <is>
          <t>TOU-GS-2</t>
        </is>
      </c>
      <c r="C27" s="792" t="inlineStr">
        <is>
          <t>From a recent bill</t>
        </is>
      </c>
      <c r="D27" s="804" t="n"/>
      <c r="E27" s="804" t="n"/>
      <c r="F27" s="804" t="n"/>
    </row>
    <row r="28" ht="16" customHeight="1" s="254">
      <c r="A28" s="781" t="inlineStr">
        <is>
          <t>Existing service size (A)</t>
        </is>
      </c>
      <c r="B28" s="818" t="n">
        <v>800</v>
      </c>
      <c r="C28" s="792" t="inlineStr">
        <is>
          <t>Main service amperage today</t>
        </is>
      </c>
      <c r="D28" s="804" t="n"/>
      <c r="E28" s="804" t="n"/>
      <c r="F28" s="804" t="n"/>
    </row>
    <row r="29" ht="16" customHeight="1" s="254">
      <c r="A29" s="781" t="inlineStr">
        <is>
          <t>Service voltage</t>
        </is>
      </c>
      <c r="B29" s="819" t="n">
        <v>480</v>
      </c>
      <c r="C29" s="792" t="inlineStr">
        <is>
          <t>Usually 480V 3-phase for DC fast charging</t>
        </is>
      </c>
      <c r="D29" s="804" t="n"/>
      <c r="E29" s="804" t="n"/>
      <c r="F29" s="804" t="n"/>
    </row>
    <row r="30" ht="16" customHeight="1" s="254">
      <c r="A30" s="781" t="inlineStr">
        <is>
          <t>12 months of bills obtained?</t>
        </is>
      </c>
      <c r="B30" s="799" t="inlineStr">
        <is>
          <t>Yes</t>
        </is>
      </c>
      <c r="C30" s="792" t="inlineStr">
        <is>
          <t>Yes / No — needed to validate the energy cost</t>
        </is>
      </c>
      <c r="D30" s="804" t="n"/>
      <c r="E30" s="804" t="n"/>
      <c r="F30" s="804" t="n"/>
    </row>
    <row r="31" ht="16" customHeight="1" s="254">
      <c r="A31" s="811" t="n"/>
      <c r="B31" s="804" t="n"/>
      <c r="C31" s="804" t="n"/>
      <c r="D31" s="804" t="n"/>
      <c r="E31" s="804" t="n"/>
      <c r="F31" s="804" t="n"/>
    </row>
    <row r="32" ht="19.75" customHeight="1" s="254">
      <c r="A32" s="798" t="inlineStr">
        <is>
          <t>Commercial</t>
        </is>
      </c>
      <c r="B32" s="804" t="n"/>
      <c r="C32" s="804" t="n"/>
      <c r="D32" s="804" t="n"/>
      <c r="E32" s="804" t="n"/>
      <c r="F32" s="804" t="n"/>
    </row>
    <row r="33" ht="16" customHeight="1" s="254">
      <c r="A33" s="781" t="inlineStr">
        <is>
          <t>Proposal date</t>
        </is>
      </c>
      <c r="B33" s="820" t="n">
        <v>46266</v>
      </c>
      <c r="C33" s="804" t="n"/>
      <c r="D33" s="804" t="n"/>
      <c r="E33" s="804" t="n"/>
      <c r="F33" s="804" t="n"/>
    </row>
    <row r="34" ht="16" customHeight="1" s="254">
      <c r="A34" s="781" t="inlineStr">
        <is>
          <t>Proposal validity (days)</t>
        </is>
      </c>
      <c r="B34" s="819" t="n">
        <v>30</v>
      </c>
      <c r="C34" s="804" t="n"/>
      <c r="D34" s="804" t="n"/>
      <c r="E34" s="804" t="n"/>
      <c r="F34" s="804" t="n"/>
    </row>
    <row r="35" ht="16" customHeight="1" s="254">
      <c r="A35" s="781" t="inlineStr">
        <is>
          <t>Prepared by</t>
        </is>
      </c>
      <c r="B35" s="799" t="inlineStr">
        <is>
          <t>Vatsal Patel</t>
        </is>
      </c>
      <c r="C35" s="804" t="n"/>
      <c r="D35" s="804" t="n"/>
      <c r="E35" s="804" t="n"/>
      <c r="F35" s="804" t="n"/>
    </row>
    <row r="36" ht="16" customHeight="1" s="254">
      <c r="A36" s="781" t="inlineStr">
        <is>
          <t>RSM / account owner</t>
        </is>
      </c>
      <c r="B36" s="799" t="inlineStr">
        <is>
          <t>Account Owner</t>
        </is>
      </c>
      <c r="C36" s="804" t="n"/>
      <c r="D36" s="804" t="n"/>
      <c r="E36" s="804" t="n"/>
      <c r="F36" s="804" t="n"/>
    </row>
    <row r="37" ht="16" customHeight="1" s="254">
      <c r="A37" s="811" t="n"/>
      <c r="B37" s="804" t="n"/>
      <c r="C37" s="804" t="n"/>
      <c r="D37" s="804" t="n"/>
      <c r="E37" s="804" t="n"/>
      <c r="F37" s="804" t="n"/>
    </row>
    <row r="38" ht="16" customHeight="1" s="254">
      <c r="A38" s="811" t="n"/>
      <c r="B38" s="804" t="n"/>
      <c r="C38" s="804" t="n"/>
      <c r="D38" s="804" t="n"/>
      <c r="E38" s="804" t="n"/>
      <c r="F38" s="804" t="n"/>
    </row>
    <row r="39" ht="33.5" customHeight="1" s="254">
      <c r="A39" s="798" t="inlineStr">
        <is>
          <t>Utility context — derived from the selection above</t>
        </is>
      </c>
      <c r="B39" s="804" t="n"/>
      <c r="C39" s="804" t="n"/>
      <c r="D39" s="804" t="n"/>
      <c r="E39" s="804" t="n"/>
      <c r="F39" s="804" t="n"/>
    </row>
    <row r="40" hidden="1" outlineLevel="1" ht="31" customHeight="1" s="254">
      <c r="A40" s="816" t="inlineStr">
        <is>
          <t>These read the Utilities and RateLibrary tabs. They tell you what tariff regime the site sits in before anyone opens a tariff book.</t>
        </is>
      </c>
      <c r="D40" s="804" t="n"/>
      <c r="E40" s="804" t="n"/>
      <c r="F40" s="804" t="n"/>
    </row>
    <row r="41" hidden="1" outlineLevel="1" ht="31" customHeight="1" s="254">
      <c r="A41" s="781" t="inlineStr">
        <is>
          <t>Utility type</t>
        </is>
      </c>
      <c r="B41" s="821">
        <f>IFERROR(INDEX(Utilities!$K$5:$K$78,MATCH($B$26,Utilities!$J$5:$J$78,0)),"")</f>
        <v/>
      </c>
      <c r="C41" s="816" t="inlineStr">
        <is>
          <t>IOU utilities are CPUC-regulated and follow Rule 29. POUs and co-ops set their own rules — no Rule 29, no PCIA, their own interconnection process.</t>
        </is>
      </c>
    </row>
    <row r="42" hidden="1" outlineLevel="1" ht="16" customHeight="1" s="254">
      <c r="A42" s="781" t="inlineStr">
        <is>
          <t>Service territory</t>
        </is>
      </c>
      <c r="B42" s="821">
        <f>IFERROR(INDEX(Utilities!$L$5:$L$78,MATCH($B$26,Utilities!$J$5:$J$78,0)),"")</f>
        <v/>
      </c>
      <c r="C42" s="804" t="n"/>
      <c r="D42" s="804" t="n"/>
      <c r="E42" s="804" t="n"/>
      <c r="F42" s="804" t="n"/>
    </row>
    <row r="43" hidden="1" outlineLevel="1" ht="43.5" customHeight="1" s="254">
      <c r="A43" s="781" t="inlineStr">
        <is>
          <t>EV rate status</t>
        </is>
      </c>
      <c r="B43" s="821">
        <f>IFERROR(INDEX(Utilities!$M$5:$M$78,MATCH($B$26,Utilities!$J$5:$J$78,0)),"")</f>
        <v/>
      </c>
      <c r="C43" s="816"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31" customHeight="1" s="254">
      <c r="A44" s="781" t="inlineStr">
        <is>
          <t>Rate rows in the library</t>
        </is>
      </c>
      <c r="B44" s="821">
        <f>COUNTIF(RATE_UTIL,$B$26)</f>
        <v/>
      </c>
      <c r="C44" s="816" t="inlineStr">
        <is>
          <t>How many schedules the library carries for this utility. Zero means it has not been researched — obtain the tariff.</t>
        </is>
      </c>
      <c r="E44" s="804" t="n"/>
      <c r="F44" s="804" t="n"/>
    </row>
    <row r="45" hidden="1" outlineLevel="1" ht="31" customHeight="1" s="254">
      <c r="A45" s="794" t="inlineStr">
        <is>
          <t>Best status in the library</t>
        </is>
      </c>
      <c r="B45" s="822">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816" t="inlineStr">
        <is>
          <t>Never price a project from a NOT PUBLISHED row. Get the tariff sheet or a written rate quotation.</t>
        </is>
      </c>
      <c r="E45" s="804" t="n"/>
      <c r="F45" s="804" t="n"/>
    </row>
    <row r="46" hidden="1" outlineLevel="1" ht="31" customHeight="1" s="254">
      <c r="A46" s="781" t="inlineStr">
        <is>
          <t>Community choice aggregator, if any</t>
        </is>
      </c>
      <c r="B46" s="799" t="inlineStr">
        <is>
          <t>Clean Power Alliance</t>
        </is>
      </c>
      <c r="C46" s="816" t="inlineStr">
        <is>
          <t>A CCA changes ONLY the generation $/kWh. Eligibility, time-of-use periods, the demand subscription and every delivery charge stay with the utility above.</t>
        </is>
      </c>
    </row>
    <row r="47" hidden="1" outlineLevel="1" ht="56" customHeight="1" s="254">
      <c r="A47" s="794" t="inlineStr">
        <is>
          <t>CCA delivery utility check</t>
        </is>
      </c>
      <c r="B47" s="822">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814"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31" customHeight="1" s="254">
      <c r="A48" s="794" t="inlineStr">
        <is>
          <t>Interconnection regime</t>
        </is>
      </c>
      <c r="B48" s="822">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814" t="inlineStr">
        <is>
          <t>Decides whether the Rule 29 questions on the Electrical tab are worth asking. Outside a California investor-owned utility they are not, and nothing reads them.</t>
        </is>
      </c>
    </row>
    <row r="49" hidden="1" outlineLevel="1" ht="56" customHeight="1" s="254">
      <c r="A49" s="823"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804" t="n"/>
      <c r="E49" s="804" t="n"/>
      <c r="F49" s="804"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7"/>
    <col width="9" customWidth="1" style="254" min="5" max="5"/>
    <col width="9" customWidth="1" style="254" min="6" max="6"/>
    <col width="9" customWidth="1" style="254" min="7" max="7"/>
  </cols>
  <sheetData>
    <row r="1" ht="26" customHeight="1" s="254">
      <c r="A1" s="790" t="inlineStr">
        <is>
          <t>1B · EXISTING SITE — existing service, rip and replace, or replace and expand</t>
        </is>
      </c>
    </row>
    <row r="2" ht="31" customHeight="1" s="254">
      <c r="A2" s="816"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6" customHeight="1" s="254">
      <c r="A3" s="811" t="n"/>
      <c r="B3" s="804" t="n"/>
      <c r="C3" s="804" t="n"/>
      <c r="D3" s="804" t="n"/>
      <c r="E3" s="804" t="n"/>
      <c r="F3" s="804" t="n"/>
      <c r="G3" s="804" t="n"/>
    </row>
    <row r="4" ht="19.75" customHeight="1" s="254">
      <c r="A4" s="798" t="inlineStr">
        <is>
          <t>A · Project type</t>
        </is>
      </c>
      <c r="B4" s="804" t="n"/>
      <c r="C4" s="804" t="n"/>
      <c r="D4" s="804" t="n"/>
      <c r="E4" s="804" t="n"/>
      <c r="F4" s="804" t="n"/>
      <c r="G4" s="804" t="n"/>
    </row>
    <row r="5" ht="68.5" customHeight="1" s="254">
      <c r="A5" s="781" t="inlineStr">
        <is>
          <t>Project type</t>
        </is>
      </c>
      <c r="B5" s="807" t="inlineStr">
        <is>
          <t>Rip and replace — reuse infrastructure</t>
        </is>
      </c>
      <c r="C5" s="816"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31" customHeight="1" s="254">
      <c r="A6" s="781" t="inlineStr">
        <is>
          <t>Age of the existing installation (years)</t>
        </is>
      </c>
      <c r="B6" s="818" t="n">
        <v>7</v>
      </c>
      <c r="C6" s="816" t="inlineStr">
        <is>
          <t>Drives whether the existing conductors and gear are worth reusing.</t>
        </is>
      </c>
      <c r="E6" s="804" t="n"/>
      <c r="F6" s="804" t="n"/>
      <c r="G6" s="804" t="n"/>
    </row>
    <row r="7" ht="31" customHeight="1" s="254">
      <c r="A7" s="781" t="inlineStr">
        <is>
          <t>Reason for replacement</t>
        </is>
      </c>
      <c r="B7" s="799" t="inlineStr">
        <is>
          <t>End of life and unreliable</t>
        </is>
      </c>
      <c r="C7" s="816" t="inlineStr">
        <is>
          <t>End of life, unreliability, obsolete connectors, insufficient power, or a commercial decision.</t>
        </is>
      </c>
      <c r="E7" s="804" t="n"/>
      <c r="F7" s="804" t="n"/>
      <c r="G7" s="804" t="n"/>
    </row>
    <row r="8" ht="16" customHeight="1" s="254">
      <c r="A8" s="781" t="inlineStr">
        <is>
          <t>Who owns the existing equipment?</t>
        </is>
      </c>
      <c r="B8" s="799" t="inlineStr">
        <is>
          <t>Client</t>
        </is>
      </c>
      <c r="C8" s="816" t="inlineStr">
        <is>
          <t>If a third party owns it, removal and disposal need their agreement.</t>
        </is>
      </c>
      <c r="E8" s="804" t="n"/>
      <c r="F8" s="804" t="n"/>
      <c r="G8" s="804" t="n"/>
    </row>
    <row r="9" ht="16" customHeight="1" s="254">
      <c r="A9" s="811" t="n"/>
      <c r="B9" s="804" t="n"/>
      <c r="C9" s="804" t="n"/>
      <c r="D9" s="804" t="n"/>
      <c r="E9" s="804" t="n"/>
      <c r="F9" s="804" t="n"/>
      <c r="G9" s="804" t="n"/>
    </row>
    <row r="10" ht="33.5" customHeight="1" s="254">
      <c r="A10" s="798" t="inlineStr">
        <is>
          <t>B · What is retained and what is replaced</t>
        </is>
      </c>
      <c r="B10" s="804" t="n"/>
      <c r="C10" s="804" t="n"/>
      <c r="D10" s="804" t="n"/>
      <c r="E10" s="804" t="n"/>
      <c r="F10" s="804" t="n"/>
      <c r="G10" s="804" t="n"/>
    </row>
    <row r="11" ht="31" customHeight="1" s="254">
      <c r="A11" s="816"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6" customHeight="1" s="254">
      <c r="A12" s="824" t="inlineStr">
        <is>
          <t>Element</t>
        </is>
      </c>
      <c r="B12" s="824" t="inlineStr">
        <is>
          <t>Decision</t>
        </is>
      </c>
      <c r="C12" s="824" t="inlineStr">
        <is>
          <t>Basis for the decision</t>
        </is>
      </c>
      <c r="D12" s="824" t="n"/>
      <c r="E12" s="824" t="n"/>
      <c r="F12" s="824" t="n"/>
      <c r="G12" s="824" t="n"/>
    </row>
    <row r="13" ht="16" customHeight="1" s="254">
      <c r="A13" s="825" t="inlineStr">
        <is>
          <t>Utility service and meter</t>
        </is>
      </c>
      <c r="B13" s="799" t="inlineStr">
        <is>
          <t>RETAIN</t>
        </is>
      </c>
      <c r="C13" s="825" t="inlineStr">
        <is>
          <t>Existing service stays. No Rule 29 application, no new meter.</t>
        </is>
      </c>
      <c r="D13" s="299" t="n"/>
      <c r="E13" s="804" t="n"/>
      <c r="F13" s="804" t="n"/>
      <c r="G13" s="804" t="n"/>
    </row>
    <row r="14" ht="16" customHeight="1" s="254">
      <c r="A14" s="825" t="inlineStr">
        <is>
          <t>Service feeder to switchgear</t>
        </is>
      </c>
      <c r="B14" s="799" t="inlineStr">
        <is>
          <t>RETAIN</t>
        </is>
      </c>
      <c r="C14" s="825" t="inlineStr">
        <is>
          <t>Conductor from the point of delivery to the switchboard.</t>
        </is>
      </c>
      <c r="D14" s="299" t="n"/>
      <c r="E14" s="804" t="n"/>
      <c r="F14" s="804" t="n"/>
      <c r="G14" s="804" t="n"/>
    </row>
    <row r="15" ht="31" customHeight="1" s="254">
      <c r="A15" s="825" t="inlineStr">
        <is>
          <t>Main distribution switchgear</t>
        </is>
      </c>
      <c r="B15" s="799" t="inlineStr">
        <is>
          <t>REPLACE</t>
        </is>
      </c>
      <c r="C15" s="825" t="inlineStr">
        <is>
          <t>Switchboard, main breaker and metering section.</t>
        </is>
      </c>
      <c r="D15" s="804" t="n"/>
      <c r="E15" s="804" t="n"/>
      <c r="F15" s="804" t="n"/>
      <c r="G15" s="804" t="n"/>
    </row>
    <row r="16" ht="31" customHeight="1" s="254">
      <c r="A16" s="825" t="inlineStr">
        <is>
          <t>Branch conductors to each charger</t>
        </is>
      </c>
      <c r="B16" s="799" t="inlineStr">
        <is>
          <t>RETAIN</t>
        </is>
      </c>
      <c r="C16" s="825" t="inlineStr">
        <is>
          <t>The feeders from switchgear to cabinet. The single largest reuse saving.</t>
        </is>
      </c>
      <c r="D16" s="299" t="n"/>
      <c r="E16" s="804" t="n"/>
      <c r="F16" s="804" t="n"/>
      <c r="G16" s="804" t="n"/>
    </row>
    <row r="17" ht="31" customHeight="1" s="254">
      <c r="A17" s="825" t="inlineStr">
        <is>
          <t>Conduit and trench</t>
        </is>
      </c>
      <c r="B17" s="799" t="inlineStr">
        <is>
          <t>RETAIN</t>
        </is>
      </c>
      <c r="C17" s="825" t="inlineStr">
        <is>
          <t>Existing conduit reused; no re-trenching if the new cabinets land on the same pads.</t>
        </is>
      </c>
      <c r="D17" s="299" t="n"/>
      <c r="E17" s="804" t="n"/>
      <c r="F17" s="804" t="n"/>
      <c r="G17" s="804" t="n"/>
    </row>
    <row r="18" ht="31" customHeight="1" s="254">
      <c r="A18" s="825" t="inlineStr">
        <is>
          <t>Branch breakers</t>
        </is>
      </c>
      <c r="B18" s="799" t="inlineStr">
        <is>
          <t>REPLACE</t>
        </is>
      </c>
      <c r="C18" s="825" t="inlineStr">
        <is>
          <t>Sized to the new cabinet, not the old one. Usually cheap and always worth replacing.</t>
        </is>
      </c>
      <c r="D18" s="299" t="n"/>
      <c r="E18" s="804" t="n"/>
      <c r="F18" s="804" t="n"/>
      <c r="G18" s="804" t="n"/>
    </row>
    <row r="19" ht="16" customHeight="1" s="254">
      <c r="A19" s="825" t="inlineStr">
        <is>
          <t>Concrete pads</t>
        </is>
      </c>
      <c r="B19" s="799" t="inlineStr">
        <is>
          <t>REPLACE</t>
        </is>
      </c>
      <c r="C19" s="825" t="inlineStr">
        <is>
          <t>New cabinets rarely match the old footprint or anchor pattern.</t>
        </is>
      </c>
      <c r="D19" s="299" t="n"/>
      <c r="E19" s="804" t="n"/>
      <c r="F19" s="804" t="n"/>
      <c r="G19" s="804" t="n"/>
    </row>
    <row r="20" ht="16" customHeight="1" s="254">
      <c r="A20" s="825" t="inlineStr">
        <is>
          <t>Bollards and equipment protection</t>
        </is>
      </c>
      <c r="B20" s="799" t="inlineStr">
        <is>
          <t>REPLACE</t>
        </is>
      </c>
      <c r="C20" s="825" t="inlineStr">
        <is>
          <t>Usually disturbed by pad removal.</t>
        </is>
      </c>
      <c r="D20" s="804" t="n"/>
      <c r="E20" s="804" t="n"/>
      <c r="F20" s="804" t="n"/>
      <c r="G20" s="804" t="n"/>
    </row>
    <row r="21" ht="31" customHeight="1" s="254">
      <c r="A21" s="825" t="inlineStr">
        <is>
          <t>Paving and striping</t>
        </is>
      </c>
      <c r="B21" s="799" t="inlineStr">
        <is>
          <t>PARTIAL</t>
        </is>
      </c>
      <c r="C21" s="825" t="inlineStr">
        <is>
          <t>Reinstatement around the new pads only.</t>
        </is>
      </c>
      <c r="D21" s="804" t="n"/>
      <c r="E21" s="804" t="n"/>
      <c r="F21" s="804" t="n"/>
      <c r="G21" s="804" t="n"/>
    </row>
    <row r="22" ht="31" customHeight="1" s="254">
      <c r="A22" s="825" t="inlineStr">
        <is>
          <t>ADA stalls and route</t>
        </is>
      </c>
      <c r="B22" s="799" t="inlineStr">
        <is>
          <t>RETAIN</t>
        </is>
      </c>
      <c r="C22" s="825" t="inlineStr">
        <is>
          <t>Reused if the layout is unchanged and still compliant.</t>
        </is>
      </c>
      <c r="D22" s="804" t="n"/>
      <c r="E22" s="804" t="n"/>
      <c r="F22" s="804" t="n"/>
      <c r="G22" s="804" t="n"/>
    </row>
    <row r="23" ht="16" customHeight="1" s="254">
      <c r="A23" s="825" t="inlineStr">
        <is>
          <t>Signage</t>
        </is>
      </c>
      <c r="B23" s="799" t="inlineStr">
        <is>
          <t>REPLACE</t>
        </is>
      </c>
      <c r="C23" s="825" t="inlineStr">
        <is>
          <t>Network branding, pricing and connector types all change.</t>
        </is>
      </c>
      <c r="D23" s="299" t="n"/>
      <c r="E23" s="804" t="n"/>
      <c r="F23" s="804" t="n"/>
      <c r="G23" s="804" t="n"/>
    </row>
    <row r="24" ht="16" customHeight="1" s="254">
      <c r="A24" s="825" t="inlineStr">
        <is>
          <t>Network and payment hardware</t>
        </is>
      </c>
      <c r="B24" s="799" t="inlineStr">
        <is>
          <t>REPLACE</t>
        </is>
      </c>
      <c r="C24" s="825" t="inlineStr">
        <is>
          <t>Integrated in the new cabinets.</t>
        </is>
      </c>
      <c r="D24" s="804" t="n"/>
      <c r="E24" s="804" t="n"/>
      <c r="F24" s="804" t="n"/>
      <c r="G24" s="804" t="n"/>
    </row>
    <row r="25" ht="16" customHeight="1" s="254">
      <c r="A25" s="811" t="n"/>
      <c r="B25" s="804" t="n"/>
      <c r="C25" s="804" t="n"/>
      <c r="D25" s="804" t="n"/>
      <c r="E25" s="804" t="n"/>
      <c r="F25" s="804" t="n"/>
      <c r="G25" s="804" t="n"/>
    </row>
    <row r="26" ht="16" customHeight="1" s="254">
      <c r="A26" s="781" t="inlineStr">
        <is>
          <t>Elements retained</t>
        </is>
      </c>
      <c r="B26" s="826">
        <f>COUNTIF($B$13:$B$24,"RETAIN")</f>
        <v/>
      </c>
      <c r="C26" s="816" t="inlineStr">
        <is>
          <t>Of 12 in the register.</t>
        </is>
      </c>
      <c r="D26" s="804" t="n"/>
      <c r="E26" s="804" t="n"/>
      <c r="F26" s="804" t="n"/>
      <c r="G26" s="804" t="n"/>
    </row>
    <row r="27" ht="16" customHeight="1" s="254">
      <c r="A27" s="781" t="inlineStr">
        <is>
          <t>Elements replaced</t>
        </is>
      </c>
      <c r="B27" s="826">
        <f>COUNTIF($B$13:$B$24,"REPLACE")+COUNTIF($B$13:$B$24,"PARTIAL")</f>
        <v/>
      </c>
      <c r="C27" s="804" t="n"/>
      <c r="D27" s="804" t="n"/>
      <c r="E27" s="804" t="n"/>
      <c r="F27" s="804" t="n"/>
      <c r="G27" s="804" t="n"/>
    </row>
    <row r="28" ht="43.5" customHeight="1" s="254">
      <c r="A28" s="794" t="inlineStr">
        <is>
          <t>Scope profile</t>
        </is>
      </c>
      <c r="B28" s="822">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816" t="inlineStr">
        <is>
          <t>What the retained register implies for the electrical scope on the Electrical tab.</t>
        </is>
      </c>
      <c r="F28" s="804" t="n"/>
      <c r="G28" s="804" t="n"/>
    </row>
    <row r="29" ht="16" customHeight="1" s="254">
      <c r="A29" s="811" t="n"/>
      <c r="B29" s="804" t="n"/>
      <c r="C29" s="804" t="n"/>
      <c r="D29" s="804" t="n"/>
      <c r="E29" s="804" t="n"/>
      <c r="F29" s="804" t="n"/>
      <c r="G29" s="804" t="n"/>
    </row>
    <row r="30" ht="33.5" customHeight="1" s="254">
      <c r="A30" s="798" t="inlineStr">
        <is>
          <t>C · Existing equipment being removed</t>
        </is>
      </c>
      <c r="B30" s="945">
        <f>IF(OR($B$5="Greenfield — new service",$B$5="Greenfield — add load to existing service"),"— skip: no existing chargers","— complete this section")</f>
        <v/>
      </c>
      <c r="C30" s="804" t="n"/>
      <c r="D30" s="804" t="n"/>
      <c r="E30" s="804" t="n"/>
      <c r="F30" s="804" t="n"/>
      <c r="G30" s="804" t="n"/>
    </row>
    <row r="31" ht="31" customHeight="1" s="254">
      <c r="A31" s="816" t="inlineStr">
        <is>
          <t>One row per existing cabinet or unit. This drives the demolition, disconnection and disposal scope on the Construction tab, and the port comparison in section F.</t>
        </is>
      </c>
    </row>
    <row r="32" ht="31" customHeight="1" s="254">
      <c r="A32" s="824" t="inlineStr">
        <is>
          <t>Make and model</t>
        </is>
      </c>
      <c r="B32" s="824" t="inlineStr">
        <is>
          <t>Rating kW</t>
        </is>
      </c>
      <c r="C32" s="824" t="inlineStr">
        <is>
          <t>Ports</t>
        </is>
      </c>
      <c r="D32" s="824" t="inlineStr">
        <is>
          <t>Connectors</t>
        </is>
      </c>
      <c r="E32" s="824" t="inlineStr">
        <is>
          <t>Qty</t>
        </is>
      </c>
      <c r="F32" s="824" t="inlineStr">
        <is>
          <t>Year installed</t>
        </is>
      </c>
      <c r="G32" s="824" t="inlineStr">
        <is>
          <t>Working?</t>
        </is>
      </c>
    </row>
    <row r="33" ht="16" customHeight="1" s="254">
      <c r="A33" s="827" t="inlineStr">
        <is>
          <t>ABB Terra 54</t>
        </is>
      </c>
      <c r="B33" s="818" t="n">
        <v>50</v>
      </c>
      <c r="C33" s="818" t="n">
        <v>2</v>
      </c>
      <c r="D33" s="799" t="inlineStr">
        <is>
          <t>CCS1 / CHAdeMO</t>
        </is>
      </c>
      <c r="E33" s="818" t="n">
        <v>2</v>
      </c>
      <c r="F33" s="819" t="n">
        <v>2018</v>
      </c>
      <c r="G33" s="799" t="inlineStr">
        <is>
          <t>Working</t>
        </is>
      </c>
    </row>
    <row r="34" ht="16" customHeight="1" s="254">
      <c r="A34" s="827" t="inlineStr">
        <is>
          <t>ChargePoint Express 250</t>
        </is>
      </c>
      <c r="B34" s="818" t="n">
        <v>62.5</v>
      </c>
      <c r="C34" s="818" t="n">
        <v>1</v>
      </c>
      <c r="D34" s="799" t="inlineStr">
        <is>
          <t>CCS1</t>
        </is>
      </c>
      <c r="E34" s="818" t="n">
        <v>2</v>
      </c>
      <c r="F34" s="819" t="n">
        <v>2019</v>
      </c>
      <c r="G34" s="799" t="inlineStr">
        <is>
          <t>Failed</t>
        </is>
      </c>
    </row>
    <row r="35" ht="16" customHeight="1" s="254">
      <c r="A35" s="827" t="n"/>
      <c r="B35" s="818" t="n"/>
      <c r="C35" s="818" t="n"/>
      <c r="D35" s="799" t="n"/>
      <c r="E35" s="818" t="n"/>
      <c r="F35" s="819" t="n"/>
      <c r="G35" s="799" t="n"/>
    </row>
    <row r="36" ht="16" customHeight="1" s="254">
      <c r="A36" s="827" t="n"/>
      <c r="B36" s="818" t="n"/>
      <c r="C36" s="818" t="n"/>
      <c r="D36" s="799" t="n"/>
      <c r="E36" s="818" t="n"/>
      <c r="F36" s="819" t="n"/>
      <c r="G36" s="799" t="n"/>
    </row>
    <row r="37" ht="16" customHeight="1" s="254">
      <c r="A37" s="827" t="n"/>
      <c r="B37" s="818" t="n"/>
      <c r="C37" s="818" t="n"/>
      <c r="D37" s="799" t="n"/>
      <c r="E37" s="818" t="n"/>
      <c r="F37" s="819" t="n"/>
      <c r="G37" s="799" t="n"/>
    </row>
    <row r="38" ht="16" customHeight="1" s="254">
      <c r="A38" s="827" t="n"/>
      <c r="B38" s="818" t="n"/>
      <c r="C38" s="818" t="n"/>
      <c r="D38" s="799" t="n"/>
      <c r="E38" s="818" t="n"/>
      <c r="F38" s="819" t="n"/>
      <c r="G38" s="799" t="n"/>
    </row>
    <row r="39" ht="16" customHeight="1" s="254">
      <c r="A39" s="827" t="n"/>
      <c r="B39" s="818" t="n"/>
      <c r="C39" s="818" t="n"/>
      <c r="D39" s="799" t="n"/>
      <c r="E39" s="818" t="n"/>
      <c r="F39" s="819" t="n"/>
      <c r="G39" s="799" t="n"/>
    </row>
    <row r="40" ht="16" customHeight="1" s="254">
      <c r="A40" s="827" t="n"/>
      <c r="B40" s="818" t="n"/>
      <c r="C40" s="818" t="n"/>
      <c r="D40" s="799" t="n"/>
      <c r="E40" s="818" t="n"/>
      <c r="F40" s="819" t="n"/>
      <c r="G40" s="799" t="n"/>
    </row>
    <row r="41" ht="16" customHeight="1" s="254">
      <c r="A41" s="811" t="n"/>
      <c r="B41" s="804" t="n"/>
      <c r="C41" s="804" t="n"/>
      <c r="D41" s="804" t="n"/>
      <c r="E41" s="804" t="n"/>
      <c r="F41" s="804" t="n"/>
      <c r="G41" s="804" t="n"/>
    </row>
    <row r="42" ht="31" customHeight="1" s="254">
      <c r="A42" s="794" t="inlineStr">
        <is>
          <t>Existing units on site</t>
        </is>
      </c>
      <c r="B42" s="828">
        <f>SUM($E$33:$E$40)</f>
        <v/>
      </c>
      <c r="C42" s="816" t="inlineStr">
        <is>
          <t>Cabinets or standalone units to be removed.</t>
        </is>
      </c>
      <c r="D42" s="804" t="n"/>
      <c r="E42" s="804" t="n"/>
      <c r="F42" s="804" t="n"/>
      <c r="G42" s="804" t="n"/>
    </row>
    <row r="43" ht="16" customHeight="1" s="254">
      <c r="A43" s="794" t="inlineStr">
        <is>
          <t>Existing ports on site</t>
        </is>
      </c>
      <c r="B43" s="828">
        <f>SUMPRODUCT($C$33:$C$40,$E$33:$E$40)</f>
        <v/>
      </c>
      <c r="C43" s="816" t="inlineStr">
        <is>
          <t>Ports the site presents today.</t>
        </is>
      </c>
      <c r="D43" s="804" t="n"/>
      <c r="E43" s="804" t="n"/>
      <c r="F43" s="804" t="n"/>
      <c r="G43" s="804" t="n"/>
    </row>
    <row r="44" ht="31" customHeight="1" s="254">
      <c r="A44" s="794" t="inlineStr">
        <is>
          <t>Existing connected load (kW)</t>
        </is>
      </c>
      <c r="B44" s="829">
        <f>SUMPRODUCT($B$33:$B$40,$E$33:$E$40)</f>
        <v/>
      </c>
      <c r="C44" s="816" t="inlineStr">
        <is>
          <t>The load the existing service was sized for. Compare against the new load on the Electrical tab.</t>
        </is>
      </c>
      <c r="E44" s="804" t="n"/>
      <c r="F44" s="804" t="n"/>
      <c r="G44" s="804" t="n"/>
    </row>
    <row r="45" ht="31" customHeight="1" s="254">
      <c r="A45" s="794" t="inlineStr">
        <is>
          <t>Units fully working</t>
        </is>
      </c>
      <c r="B45" s="828">
        <f>SUMIF($G$33:$G$40,"Working",$E$33:$E$40)</f>
        <v/>
      </c>
      <c r="C45" s="816" t="inlineStr">
        <is>
          <t>Quantity, not row count. The gap against units on site is the availability the new equipment recovers.</t>
        </is>
      </c>
      <c r="E45" s="804" t="n"/>
      <c r="F45" s="804" t="n"/>
      <c r="G45" s="804" t="n"/>
    </row>
    <row r="46" ht="31" customHeight="1" s="254">
      <c r="A46" s="781" t="inlineStr">
        <is>
          <t>Units failed or intermittent</t>
        </is>
      </c>
      <c r="B46" s="826">
        <f>SUMIF($G$33:$G$40,"Failed",$E$33:$E$40)+SUMIF($G$33:$G$40,"Intermittent",$E$33:$E$40)</f>
        <v/>
      </c>
      <c r="C46" s="816" t="inlineStr">
        <is>
          <t>What the replacement is actually fixing.</t>
        </is>
      </c>
      <c r="D46" s="804" t="n"/>
      <c r="E46" s="804" t="n"/>
      <c r="F46" s="804" t="n"/>
      <c r="G46" s="804" t="n"/>
    </row>
    <row r="47" ht="31" customHeight="1" s="254">
      <c r="A47" s="781" t="inlineStr">
        <is>
          <t>Units of unknown condition</t>
        </is>
      </c>
      <c r="B47" s="830">
        <f>SUMIF($G$33:$G$40,"Unknown",$E$33:$E$40)</f>
        <v/>
      </c>
      <c r="C47" s="814" t="inlineStr">
        <is>
          <t>The availability uplift on the revenue projection is built from what was working and what was not. Anything in this row is a projection input nobody has established yet.</t>
        </is>
      </c>
    </row>
    <row r="48" ht="33.5" customHeight="1" s="254">
      <c r="A48" s="798" t="inlineStr">
        <is>
          <t>D · Existing electrical infrastructure</t>
        </is>
      </c>
      <c r="B48" s="945">
        <f>IF($B$5&lt;&gt;"Greenfield — new service","— complete this section","— skip: new service")</f>
        <v/>
      </c>
      <c r="C48" s="804" t="n"/>
      <c r="D48" s="804" t="n"/>
      <c r="E48" s="804" t="n"/>
      <c r="F48" s="804" t="n"/>
      <c r="G48" s="804" t="n"/>
    </row>
    <row r="49" ht="31" customHeight="1" s="254">
      <c r="A49" s="816"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31" customHeight="1" s="254">
      <c r="A50" s="781" t="inlineStr">
        <is>
          <t>Existing service size (A)</t>
        </is>
      </c>
      <c r="B50" s="831" t="n">
        <v>800</v>
      </c>
      <c r="C50" s="816" t="inlineStr">
        <is>
          <t>From the meter panel or the utility bill.</t>
        </is>
      </c>
      <c r="D50" s="804" t="n"/>
      <c r="E50" s="804" t="n"/>
      <c r="F50" s="804" t="n"/>
      <c r="G50" s="804" t="n"/>
    </row>
    <row r="51" ht="93.5" customHeight="1" s="254">
      <c r="A51" s="781" t="inlineStr">
        <is>
          <t>Existing service voltage</t>
        </is>
      </c>
      <c r="B51" s="832" t="n">
        <v>480</v>
      </c>
      <c r="C51" s="816" t="inlineStr">
        <is>
          <t>Derived. When the service is retained this IS the service voltage on the Project tab, and the electrical checks read that cell — it was a second home for one fact, and on a Level 2 replacement the two disagreed by 272 V. Set the voltage on the Project tab.</t>
        </is>
      </c>
      <c r="D51" s="804" t="n"/>
      <c r="E51" s="804" t="n"/>
      <c r="F51" s="804" t="n"/>
      <c r="G51" s="804" t="n"/>
    </row>
    <row r="52" ht="31" customHeight="1" s="254">
      <c r="A52" s="781" t="inlineStr">
        <is>
          <t>Spare capacity in the existing gear (A)</t>
        </is>
      </c>
      <c r="B52" s="818" t="n">
        <v>200</v>
      </c>
      <c r="C52" s="816" t="inlineStr">
        <is>
          <t>What is available for the new equipment without an upgrade.</t>
        </is>
      </c>
      <c r="E52" s="804" t="n"/>
      <c r="F52" s="804" t="n"/>
      <c r="G52" s="804" t="n"/>
    </row>
    <row r="53" ht="16" customHeight="1" s="254">
      <c r="A53" s="781" t="inlineStr">
        <is>
          <t>Existing switchgear frame (A)</t>
        </is>
      </c>
      <c r="B53" s="818" t="n">
        <v>800</v>
      </c>
      <c r="C53" s="816" t="inlineStr">
        <is>
          <t>The main breaker frame size.</t>
        </is>
      </c>
      <c r="D53" s="804" t="n"/>
      <c r="E53" s="804" t="n"/>
      <c r="F53" s="804" t="n"/>
      <c r="G53" s="804" t="n"/>
    </row>
    <row r="54" ht="16" customHeight="1" s="254">
      <c r="A54" s="781" t="inlineStr">
        <is>
          <t>Existing branch conductor size</t>
        </is>
      </c>
      <c r="B54" s="799" t="inlineStr">
        <is>
          <t>250 KCMIL Cu</t>
        </is>
      </c>
      <c r="C54" s="816" t="inlineStr">
        <is>
          <t>e.g. 250 KCMIL Cu. Determines whether it can carry the new cabinet.</t>
        </is>
      </c>
      <c r="E54" s="804" t="n"/>
      <c r="F54" s="804" t="n"/>
      <c r="G54" s="804" t="n"/>
    </row>
    <row r="55" ht="16" customHeight="1" s="254">
      <c r="A55" s="781" t="inlineStr">
        <is>
          <t>Average branch run length (ft)</t>
        </is>
      </c>
      <c r="B55" s="818" t="n">
        <v>120</v>
      </c>
      <c r="C55" s="816" t="inlineStr">
        <is>
          <t>Switchgear to cabinet, per position.</t>
        </is>
      </c>
      <c r="D55" s="804" t="n"/>
      <c r="E55" s="804" t="n"/>
      <c r="F55" s="804" t="n"/>
      <c r="G55" s="804" t="n"/>
    </row>
    <row r="56" ht="31" customHeight="1" s="254">
      <c r="A56" s="781" t="inlineStr">
        <is>
          <t>Existing conduit size and type</t>
        </is>
      </c>
      <c r="B56" s="799" t="inlineStr">
        <is>
          <t>2-1/2 in PVC</t>
        </is>
      </c>
      <c r="C56" s="816" t="inlineStr">
        <is>
          <t>e.g. 2-1/2 in PVC. Determines whether a larger conductor could be pulled if needed.</t>
        </is>
      </c>
      <c r="E56" s="804" t="n"/>
      <c r="F56" s="804" t="n"/>
      <c r="G56" s="804" t="n"/>
    </row>
    <row r="57" ht="31" customHeight="1" s="254">
      <c r="A57" s="781" t="inlineStr">
        <is>
          <t>Existing rate schedule</t>
        </is>
      </c>
      <c r="B57" s="799" t="inlineStr">
        <is>
          <t>TOU-GS-2</t>
        </is>
      </c>
      <c r="C57" s="816" t="inlineStr">
        <is>
          <t>The tariff the site is billed on today.</t>
        </is>
      </c>
      <c r="D57" s="804" t="n"/>
      <c r="E57" s="804" t="n"/>
      <c r="F57" s="804" t="n"/>
      <c r="G57" s="804" t="n"/>
    </row>
    <row r="58" ht="16" customHeight="1" s="254">
      <c r="A58" s="781" t="inlineStr">
        <is>
          <t>Separately metered for EV today?</t>
        </is>
      </c>
      <c r="B58" s="799" t="inlineStr">
        <is>
          <t>No</t>
        </is>
      </c>
      <c r="C58" s="816" t="inlineStr">
        <is>
          <t>If not, a separate EV meter may be needed to reach the EV tariff.</t>
        </is>
      </c>
      <c r="E58" s="804" t="n"/>
      <c r="F58" s="804" t="n"/>
      <c r="G58" s="804" t="n"/>
    </row>
    <row r="59" ht="16" customHeight="1" s="254">
      <c r="A59" s="811" t="n"/>
      <c r="B59" s="804" t="n"/>
      <c r="C59" s="804" t="n"/>
      <c r="D59" s="804" t="n"/>
      <c r="E59" s="804" t="n"/>
      <c r="F59" s="804" t="n"/>
      <c r="G59" s="804" t="n"/>
    </row>
    <row r="60" ht="31" customHeight="1" s="254">
      <c r="A60" s="794" t="inlineStr">
        <is>
          <t>Does the existing service carry the new load?</t>
        </is>
      </c>
      <c r="B60" s="822">
        <f>$B$198</f>
        <v/>
      </c>
      <c r="C60" s="299" t="n"/>
      <c r="D60" s="814" t="inlineStr">
        <is>
          <t>Read from section I. Names the basis it used — measured peak demand, stated spare capacity, or service size.</t>
        </is>
      </c>
    </row>
    <row r="61" ht="43.5" customHeight="1" s="254">
      <c r="A61" s="794" t="inlineStr">
        <is>
          <t>Does the existing switchgear carry the new load?</t>
        </is>
      </c>
      <c r="B61" s="822">
        <f>$B$199</f>
        <v/>
      </c>
      <c r="C61" s="299" t="n"/>
      <c r="D61" s="814" t="inlineStr">
        <is>
          <t>Read from section I. The engine reads this row: a site that keeps its switchgear must read OK here before a model is built.</t>
        </is>
      </c>
    </row>
    <row r="62" ht="43.5" customHeight="1" s="254">
      <c r="A62" s="794" t="inlineStr">
        <is>
          <t>Load change from the existing installation</t>
        </is>
      </c>
      <c r="B62" s="822">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816" t="inlineStr">
        <is>
          <t>A replacement that raises connected load is the case where reuse assumptions break.</t>
        </is>
      </c>
      <c r="F62" s="804" t="n"/>
      <c r="G62" s="804" t="n"/>
    </row>
    <row r="63" ht="16" customHeight="1" s="254">
      <c r="A63" s="811" t="n"/>
      <c r="B63" s="804" t="n"/>
      <c r="C63" s="804" t="n"/>
      <c r="D63" s="804" t="n"/>
      <c r="E63" s="804" t="n"/>
      <c r="F63" s="804" t="n"/>
      <c r="G63" s="804" t="n"/>
    </row>
    <row r="64" ht="19.75" customHeight="1" s="254">
      <c r="A64" s="798" t="inlineStr">
        <is>
          <t>E · Historical usage and billing</t>
        </is>
      </c>
      <c r="B64" s="945">
        <f>IF(OR($B$5="Greenfield — new service",$B$5="Greenfield — add load to existing service"),"— skip: no charging history","— complete this section")</f>
        <v/>
      </c>
      <c r="C64" s="804" t="n"/>
      <c r="D64" s="804" t="n"/>
      <c r="E64" s="804" t="n"/>
      <c r="F64" s="804" t="n"/>
      <c r="G64" s="804" t="n"/>
    </row>
    <row r="65" ht="43.5" customHeight="1" s="254">
      <c r="A65" s="816"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 customHeight="1" s="254">
      <c r="A66" s="824" t="inlineStr">
        <is>
          <t>Month (YYYY-MM)</t>
        </is>
      </c>
      <c r="B66" s="824" t="inlineStr">
        <is>
          <t>kWh dispensed</t>
        </is>
      </c>
      <c r="C66" s="824" t="inlineStr">
        <is>
          <t>Gross revenue</t>
        </is>
      </c>
      <c r="D66" s="824" t="inlineStr">
        <is>
          <t>Sessions</t>
        </is>
      </c>
      <c r="E66" s="824" t="inlineStr">
        <is>
          <t>Utility cost</t>
        </is>
      </c>
      <c r="F66" s="824" t="inlineStr">
        <is>
          <t>Ports working</t>
        </is>
      </c>
      <c r="G66" s="824" t="inlineStr">
        <is>
          <t>Note / outage</t>
        </is>
      </c>
    </row>
    <row r="67" ht="16" customHeight="1" s="254">
      <c r="A67" s="827" t="inlineStr">
        <is>
          <t>2025-09</t>
        </is>
      </c>
      <c r="B67" s="818" t="n">
        <v>9800</v>
      </c>
      <c r="C67" s="833" t="n">
        <v>5390</v>
      </c>
      <c r="D67" s="818" t="n">
        <v>306</v>
      </c>
      <c r="E67" s="833" t="n">
        <v>2744</v>
      </c>
      <c r="F67" s="834" t="n">
        <v>4</v>
      </c>
      <c r="G67" s="799" t="n"/>
    </row>
    <row r="68" ht="16" customHeight="1" s="254">
      <c r="A68" s="827" t="inlineStr">
        <is>
          <t>2025-10</t>
        </is>
      </c>
      <c r="B68" s="818" t="n">
        <v>10200</v>
      </c>
      <c r="C68" s="833" t="n">
        <v>5610</v>
      </c>
      <c r="D68" s="818" t="n">
        <v>319</v>
      </c>
      <c r="E68" s="833" t="n">
        <v>2856</v>
      </c>
      <c r="F68" s="834" t="n">
        <v>4</v>
      </c>
      <c r="G68" s="799" t="n"/>
    </row>
    <row r="69" ht="16" customHeight="1" s="254">
      <c r="A69" s="827" t="inlineStr">
        <is>
          <t>2025-11</t>
        </is>
      </c>
      <c r="B69" s="818" t="n">
        <v>9900</v>
      </c>
      <c r="C69" s="833" t="n">
        <v>5445</v>
      </c>
      <c r="D69" s="818" t="n">
        <v>309</v>
      </c>
      <c r="E69" s="833" t="n">
        <v>2772</v>
      </c>
      <c r="F69" s="834" t="n">
        <v>3</v>
      </c>
      <c r="G69" s="799" t="inlineStr">
        <is>
          <t>Two units down all month</t>
        </is>
      </c>
    </row>
    <row r="70" ht="16" customHeight="1" s="254">
      <c r="A70" s="827" t="inlineStr">
        <is>
          <t>2025-12</t>
        </is>
      </c>
      <c r="B70" s="818" t="n">
        <v>11500</v>
      </c>
      <c r="C70" s="833" t="n">
        <v>6325</v>
      </c>
      <c r="D70" s="818" t="n">
        <v>359</v>
      </c>
      <c r="E70" s="833" t="n">
        <v>3220</v>
      </c>
      <c r="F70" s="834" t="n">
        <v>3</v>
      </c>
      <c r="G70" s="799" t="n"/>
    </row>
    <row r="71" ht="16" customHeight="1" s="254">
      <c r="A71" s="827" t="inlineStr">
        <is>
          <t>2026-01</t>
        </is>
      </c>
      <c r="B71" s="818" t="n">
        <v>12000</v>
      </c>
      <c r="C71" s="833" t="n">
        <v>6600</v>
      </c>
      <c r="D71" s="818" t="n">
        <v>375</v>
      </c>
      <c r="E71" s="833" t="n">
        <v>3360</v>
      </c>
      <c r="F71" s="834" t="n">
        <v>3</v>
      </c>
      <c r="G71" s="799" t="n"/>
    </row>
    <row r="72" ht="16" customHeight="1" s="254">
      <c r="A72" s="827" t="inlineStr">
        <is>
          <t>2026-02</t>
        </is>
      </c>
      <c r="B72" s="818" t="n">
        <v>11800</v>
      </c>
      <c r="C72" s="833" t="n">
        <v>6490</v>
      </c>
      <c r="D72" s="818" t="n">
        <v>369</v>
      </c>
      <c r="E72" s="833" t="n">
        <v>3304</v>
      </c>
      <c r="F72" s="834" t="n">
        <v>4</v>
      </c>
      <c r="G72" s="799" t="n"/>
    </row>
    <row r="73" ht="16" customHeight="1" s="254">
      <c r="A73" s="827" t="inlineStr">
        <is>
          <t>2026-03</t>
        </is>
      </c>
      <c r="B73" s="818" t="n">
        <v>12500</v>
      </c>
      <c r="C73" s="833" t="n">
        <v>6875</v>
      </c>
      <c r="D73" s="818" t="n">
        <v>391</v>
      </c>
      <c r="E73" s="833" t="n">
        <v>3500</v>
      </c>
      <c r="F73" s="834" t="n">
        <v>3</v>
      </c>
      <c r="G73" s="799" t="n"/>
    </row>
    <row r="74" ht="16" customHeight="1" s="254">
      <c r="A74" s="827" t="inlineStr">
        <is>
          <t>2026-04</t>
        </is>
      </c>
      <c r="B74" s="818" t="n">
        <v>13100</v>
      </c>
      <c r="C74" s="833" t="n">
        <v>7205</v>
      </c>
      <c r="D74" s="818" t="n">
        <v>409</v>
      </c>
      <c r="E74" s="833" t="n">
        <v>3668</v>
      </c>
      <c r="F74" s="834" t="n">
        <v>3</v>
      </c>
      <c r="G74" s="799" t="n"/>
    </row>
    <row r="75" ht="16" customHeight="1" s="254">
      <c r="A75" s="827" t="inlineStr">
        <is>
          <t>2026-05</t>
        </is>
      </c>
      <c r="B75" s="818" t="n">
        <v>12800</v>
      </c>
      <c r="C75" s="833" t="n">
        <v>7040</v>
      </c>
      <c r="D75" s="818" t="n">
        <v>400</v>
      </c>
      <c r="E75" s="833" t="n">
        <v>3584</v>
      </c>
      <c r="F75" s="834" t="n">
        <v>3</v>
      </c>
      <c r="G75" s="799" t="n"/>
    </row>
    <row r="76" ht="16" customHeight="1" s="254">
      <c r="A76" s="827" t="inlineStr">
        <is>
          <t>2026-06</t>
        </is>
      </c>
      <c r="B76" s="818" t="n">
        <v>13400</v>
      </c>
      <c r="C76" s="833" t="n">
        <v>7370</v>
      </c>
      <c r="D76" s="818" t="n">
        <v>419</v>
      </c>
      <c r="E76" s="833" t="n">
        <v>3752</v>
      </c>
      <c r="F76" s="834" t="n">
        <v>4</v>
      </c>
      <c r="G76" s="799" t="n"/>
    </row>
    <row r="77" ht="16" customHeight="1" s="254">
      <c r="A77" s="827" t="inlineStr">
        <is>
          <t>2026-07</t>
        </is>
      </c>
      <c r="B77" s="818" t="n">
        <v>13900</v>
      </c>
      <c r="C77" s="833" t="n">
        <v>7645</v>
      </c>
      <c r="D77" s="818" t="n">
        <v>434</v>
      </c>
      <c r="E77" s="833" t="n">
        <v>3892</v>
      </c>
      <c r="F77" s="834" t="n">
        <v>4</v>
      </c>
      <c r="G77" s="799" t="n"/>
    </row>
    <row r="78" ht="16" customHeight="1" s="254">
      <c r="A78" s="827" t="inlineStr">
        <is>
          <t>2026-08</t>
        </is>
      </c>
      <c r="B78" s="818" t="n">
        <v>14100</v>
      </c>
      <c r="C78" s="833" t="n">
        <v>7755</v>
      </c>
      <c r="D78" s="818" t="n">
        <v>441</v>
      </c>
      <c r="E78" s="833" t="n">
        <v>3948</v>
      </c>
      <c r="F78" s="834" t="n">
        <v>4</v>
      </c>
      <c r="G78" s="799" t="n"/>
    </row>
    <row r="79" ht="16" customHeight="1" s="254">
      <c r="A79" s="827" t="n"/>
      <c r="B79" s="818" t="n"/>
      <c r="C79" s="833" t="n"/>
      <c r="D79" s="818" t="n"/>
      <c r="E79" s="833" t="n"/>
      <c r="F79" s="834" t="n"/>
      <c r="G79" s="799" t="n"/>
    </row>
    <row r="80" ht="16" customHeight="1" s="254">
      <c r="A80" s="827" t="n"/>
      <c r="B80" s="818" t="n"/>
      <c r="C80" s="833" t="n"/>
      <c r="D80" s="818" t="n"/>
      <c r="E80" s="833" t="n"/>
      <c r="F80" s="834" t="n"/>
      <c r="G80" s="799" t="n"/>
    </row>
    <row r="81" ht="16" customHeight="1" s="254">
      <c r="A81" s="827" t="n"/>
      <c r="B81" s="818" t="n"/>
      <c r="C81" s="833" t="n"/>
      <c r="D81" s="818" t="n"/>
      <c r="E81" s="833" t="n"/>
      <c r="F81" s="834" t="n"/>
      <c r="G81" s="799" t="n"/>
    </row>
    <row r="82" ht="16" customHeight="1" s="254">
      <c r="A82" s="827" t="n"/>
      <c r="B82" s="818" t="n"/>
      <c r="C82" s="833" t="n"/>
      <c r="D82" s="818" t="n"/>
      <c r="E82" s="833" t="n"/>
      <c r="F82" s="834" t="n"/>
      <c r="G82" s="799" t="n"/>
    </row>
    <row r="83" ht="16" customHeight="1" s="254">
      <c r="A83" s="827" t="n"/>
      <c r="B83" s="818" t="n"/>
      <c r="C83" s="833" t="n"/>
      <c r="D83" s="818" t="n"/>
      <c r="E83" s="833" t="n"/>
      <c r="F83" s="834" t="n"/>
      <c r="G83" s="799" t="n"/>
    </row>
    <row r="84" ht="16" customHeight="1" s="254">
      <c r="A84" s="827" t="n"/>
      <c r="B84" s="818" t="n"/>
      <c r="C84" s="833" t="n"/>
      <c r="D84" s="818" t="n"/>
      <c r="E84" s="833" t="n"/>
      <c r="F84" s="834" t="n"/>
      <c r="G84" s="799" t="n"/>
    </row>
    <row r="85" ht="16" customHeight="1" s="254">
      <c r="A85" s="827" t="n"/>
      <c r="B85" s="818" t="n"/>
      <c r="C85" s="833" t="n"/>
      <c r="D85" s="818" t="n"/>
      <c r="E85" s="833" t="n"/>
      <c r="F85" s="834" t="n"/>
      <c r="G85" s="799" t="n"/>
    </row>
    <row r="86" ht="16" customHeight="1" s="254">
      <c r="A86" s="827" t="n"/>
      <c r="B86" s="818" t="n"/>
      <c r="C86" s="833" t="n"/>
      <c r="D86" s="818" t="n"/>
      <c r="E86" s="833" t="n"/>
      <c r="F86" s="834" t="n"/>
      <c r="G86" s="799" t="n"/>
    </row>
    <row r="87" ht="16" customHeight="1" s="254">
      <c r="A87" s="827" t="n"/>
      <c r="B87" s="818" t="n"/>
      <c r="C87" s="833" t="n"/>
      <c r="D87" s="818" t="n"/>
      <c r="E87" s="833" t="n"/>
      <c r="F87" s="834" t="n"/>
      <c r="G87" s="799" t="n"/>
    </row>
    <row r="88" ht="16" customHeight="1" s="254">
      <c r="A88" s="827" t="n"/>
      <c r="B88" s="818" t="n"/>
      <c r="C88" s="833" t="n"/>
      <c r="D88" s="818" t="n"/>
      <c r="E88" s="833" t="n"/>
      <c r="F88" s="834" t="n"/>
      <c r="G88" s="799" t="n"/>
    </row>
    <row r="89" ht="16" customHeight="1" s="254">
      <c r="A89" s="827" t="n"/>
      <c r="B89" s="818" t="n"/>
      <c r="C89" s="833" t="n"/>
      <c r="D89" s="818" t="n"/>
      <c r="E89" s="833" t="n"/>
      <c r="F89" s="834" t="n"/>
      <c r="G89" s="799" t="n"/>
    </row>
    <row r="90" ht="16" customHeight="1" s="254">
      <c r="A90" s="827" t="n"/>
      <c r="B90" s="818" t="n"/>
      <c r="C90" s="833" t="n"/>
      <c r="D90" s="818" t="n"/>
      <c r="E90" s="833" t="n"/>
      <c r="F90" s="834" t="n"/>
      <c r="G90" s="799" t="n"/>
    </row>
    <row r="91" ht="16" customHeight="1" s="254">
      <c r="A91" s="827" t="n"/>
      <c r="B91" s="818" t="n"/>
      <c r="C91" s="833" t="n"/>
      <c r="D91" s="818" t="n"/>
      <c r="E91" s="833" t="n"/>
      <c r="F91" s="834" t="n"/>
      <c r="G91" s="799" t="n"/>
    </row>
    <row r="92" ht="16" customHeight="1" s="254">
      <c r="A92" s="827" t="n"/>
      <c r="B92" s="818" t="n"/>
      <c r="C92" s="833" t="n"/>
      <c r="D92" s="818" t="n"/>
      <c r="E92" s="833" t="n"/>
      <c r="F92" s="834" t="n"/>
      <c r="G92" s="799" t="n"/>
    </row>
    <row r="93" ht="16" customHeight="1" s="254">
      <c r="A93" s="827" t="n"/>
      <c r="B93" s="818" t="n"/>
      <c r="C93" s="833" t="n"/>
      <c r="D93" s="818" t="n"/>
      <c r="E93" s="833" t="n"/>
      <c r="F93" s="834" t="n"/>
      <c r="G93" s="799" t="n"/>
    </row>
    <row r="94" ht="16" customHeight="1" s="254">
      <c r="A94" s="827" t="n"/>
      <c r="B94" s="818" t="n"/>
      <c r="C94" s="833" t="n"/>
      <c r="D94" s="818" t="n"/>
      <c r="E94" s="833" t="n"/>
      <c r="F94" s="834" t="n"/>
      <c r="G94" s="799" t="n"/>
    </row>
    <row r="95" ht="16" customHeight="1" s="254">
      <c r="A95" s="827" t="n"/>
      <c r="B95" s="818" t="n"/>
      <c r="C95" s="833" t="n"/>
      <c r="D95" s="818" t="n"/>
      <c r="E95" s="833" t="n"/>
      <c r="F95" s="834" t="n"/>
      <c r="G95" s="799" t="n"/>
    </row>
    <row r="96" ht="16" customHeight="1" s="254">
      <c r="A96" s="827" t="n"/>
      <c r="B96" s="818" t="n"/>
      <c r="C96" s="833" t="n"/>
      <c r="D96" s="818" t="n"/>
      <c r="E96" s="833" t="n"/>
      <c r="F96" s="834" t="n"/>
      <c r="G96" s="799" t="n"/>
    </row>
    <row r="97" ht="16" customHeight="1" s="254">
      <c r="A97" s="827" t="n"/>
      <c r="B97" s="818" t="n"/>
      <c r="C97" s="833" t="n"/>
      <c r="D97" s="818" t="n"/>
      <c r="E97" s="833" t="n"/>
      <c r="F97" s="834" t="n"/>
      <c r="G97" s="799" t="n"/>
    </row>
    <row r="98" ht="16" customHeight="1" s="254">
      <c r="A98" s="827" t="n"/>
      <c r="B98" s="818" t="n"/>
      <c r="C98" s="833" t="n"/>
      <c r="D98" s="818" t="n"/>
      <c r="E98" s="833" t="n"/>
      <c r="F98" s="834" t="n"/>
      <c r="G98" s="799" t="n"/>
    </row>
    <row r="99" ht="16" customHeight="1" s="254">
      <c r="A99" s="827" t="n"/>
      <c r="B99" s="818" t="n"/>
      <c r="C99" s="833" t="n"/>
      <c r="D99" s="818" t="n"/>
      <c r="E99" s="833" t="n"/>
      <c r="F99" s="834" t="n"/>
      <c r="G99" s="799" t="n"/>
    </row>
    <row r="100" ht="16" customHeight="1" s="254">
      <c r="A100" s="827" t="n"/>
      <c r="B100" s="818" t="n"/>
      <c r="C100" s="833" t="n"/>
      <c r="D100" s="818" t="n"/>
      <c r="E100" s="833" t="n"/>
      <c r="F100" s="834" t="n"/>
      <c r="G100" s="799" t="n"/>
    </row>
    <row r="101" ht="16" customHeight="1" s="254">
      <c r="A101" s="827" t="n"/>
      <c r="B101" s="818" t="n"/>
      <c r="C101" s="833" t="n"/>
      <c r="D101" s="818" t="n"/>
      <c r="E101" s="833" t="n"/>
      <c r="F101" s="834" t="n"/>
      <c r="G101" s="799" t="n"/>
    </row>
    <row r="102" ht="16" customHeight="1" s="254">
      <c r="A102" s="827" t="n"/>
      <c r="B102" s="818" t="n"/>
      <c r="C102" s="833" t="n"/>
      <c r="D102" s="818" t="n"/>
      <c r="E102" s="833" t="n"/>
      <c r="F102" s="834" t="n"/>
      <c r="G102" s="799" t="n"/>
    </row>
    <row r="103" ht="16" customHeight="1" s="254">
      <c r="A103" s="811" t="n"/>
      <c r="B103" s="804" t="n"/>
      <c r="C103" s="804" t="n"/>
      <c r="D103" s="804" t="n"/>
      <c r="E103" s="804" t="n"/>
      <c r="F103" s="804" t="n"/>
      <c r="G103" s="804" t="n"/>
    </row>
    <row r="104" ht="16" customHeight="1" s="254">
      <c r="A104" s="794" t="inlineStr">
        <is>
          <t>Months with data</t>
        </is>
      </c>
      <c r="B104" s="828">
        <f>COUNT($B$67:$B$102)</f>
        <v/>
      </c>
      <c r="C104" s="816" t="inlineStr">
        <is>
          <t>Twelve is the minimum for a credible run rate; twenty-four is better.</t>
        </is>
      </c>
      <c r="E104" s="804" t="n"/>
      <c r="F104" s="804" t="n"/>
      <c r="G104" s="804" t="n"/>
    </row>
    <row r="105" ht="16" customHeight="1" s="254">
      <c r="A105" s="794" t="inlineStr">
        <is>
          <t>Total kWh dispensed</t>
        </is>
      </c>
      <c r="B105" s="828">
        <f>SUM($B$67:$B$102)</f>
        <v/>
      </c>
      <c r="C105" s="804" t="n"/>
      <c r="D105" s="804" t="n"/>
      <c r="E105" s="804" t="n"/>
      <c r="F105" s="804" t="n"/>
      <c r="G105" s="804" t="n"/>
    </row>
    <row r="106" ht="16" customHeight="1" s="254">
      <c r="A106" s="794" t="inlineStr">
        <is>
          <t>Total gross revenue</t>
        </is>
      </c>
      <c r="B106" s="835">
        <f>SUM($C$67:$C$102)</f>
        <v/>
      </c>
      <c r="C106" s="804" t="n"/>
      <c r="D106" s="804" t="n"/>
      <c r="E106" s="804" t="n"/>
      <c r="F106" s="804" t="n"/>
      <c r="G106" s="804" t="n"/>
    </row>
    <row r="107" ht="16" customHeight="1" s="254">
      <c r="A107" s="794" t="inlineStr">
        <is>
          <t>Total sessions</t>
        </is>
      </c>
      <c r="B107" s="828">
        <f>SUM($D$67:$D$102)</f>
        <v/>
      </c>
      <c r="C107" s="804" t="n"/>
      <c r="D107" s="804" t="n"/>
      <c r="E107" s="804" t="n"/>
      <c r="F107" s="804" t="n"/>
      <c r="G107" s="804" t="n"/>
    </row>
    <row r="108" ht="16" customHeight="1" s="254">
      <c r="A108" s="794" t="inlineStr">
        <is>
          <t>Total utility cost</t>
        </is>
      </c>
      <c r="B108" s="835">
        <f>SUM($E$67:$E$102)</f>
        <v/>
      </c>
      <c r="C108" s="804" t="n"/>
      <c r="D108" s="804" t="n"/>
      <c r="E108" s="804" t="n"/>
      <c r="F108" s="804" t="n"/>
      <c r="G108" s="804" t="n"/>
    </row>
    <row r="109" ht="16" customHeight="1" s="254">
      <c r="A109" s="811" t="n"/>
      <c r="B109" s="804" t="n"/>
      <c r="C109" s="804" t="n"/>
      <c r="D109" s="804" t="n"/>
      <c r="E109" s="804" t="n"/>
      <c r="F109" s="804" t="n"/>
      <c r="G109" s="804" t="n"/>
    </row>
    <row r="110" ht="16" customHeight="1" s="254">
      <c r="A110" s="794" t="inlineStr">
        <is>
          <t>Average kWh per month</t>
        </is>
      </c>
      <c r="B110" s="828">
        <f>IFERROR(SUM($B$67:$B$102)/COUNT($B$67:$B$102),0)</f>
        <v/>
      </c>
      <c r="C110" s="804" t="n"/>
      <c r="D110" s="804" t="n"/>
      <c r="E110" s="804" t="n"/>
      <c r="F110" s="804" t="n"/>
      <c r="G110" s="804" t="n"/>
    </row>
    <row r="111" ht="31" customHeight="1" s="254">
      <c r="A111" s="794" t="inlineStr">
        <is>
          <t>Average kWh per day</t>
        </is>
      </c>
      <c r="B111" s="829">
        <f>IFERROR(SUM($B$67:$B$102)/COUNT($B$67:$B$102)*12/365,0)</f>
        <v/>
      </c>
      <c r="C111" s="816" t="inlineStr">
        <is>
          <t>The historical daily run rate. This is the number the new projection is built from.</t>
        </is>
      </c>
      <c r="E111" s="804" t="n"/>
      <c r="F111" s="804" t="n"/>
      <c r="G111" s="804" t="n"/>
    </row>
    <row r="112" ht="16" customHeight="1" s="254">
      <c r="A112" s="794" t="inlineStr">
        <is>
          <t>Historical kWh per year</t>
        </is>
      </c>
      <c r="B112" s="828">
        <f>IFERROR(SUM($B$67:$B$102)/COUNT($B$67:$B$102)*12,0)</f>
        <v/>
      </c>
      <c r="C112" s="804" t="n"/>
      <c r="D112" s="804" t="n"/>
      <c r="E112" s="804" t="n"/>
      <c r="F112" s="804" t="n"/>
      <c r="G112" s="804" t="n"/>
    </row>
    <row r="113" ht="16" customHeight="1" s="254">
      <c r="A113" s="794" t="inlineStr">
        <is>
          <t>Historical gross revenue per year</t>
        </is>
      </c>
      <c r="B113" s="835">
        <f>IFERROR(SUM($C$67:$C$102)/COUNT($C$67:$C$102)*12,0)</f>
        <v/>
      </c>
      <c r="C113" s="804" t="n"/>
      <c r="D113" s="804" t="n"/>
      <c r="E113" s="804" t="n"/>
      <c r="F113" s="804" t="n"/>
      <c r="G113" s="804" t="n"/>
    </row>
    <row r="114" ht="16" customHeight="1" s="254">
      <c r="A114" s="794" t="inlineStr">
        <is>
          <t>Historical utility cost per year</t>
        </is>
      </c>
      <c r="B114" s="835">
        <f>IFERROR(SUM($E$67:$E$102)/COUNT($E$67:$E$102)*12,0)</f>
        <v/>
      </c>
      <c r="C114" s="804" t="n"/>
      <c r="D114" s="804" t="n"/>
      <c r="E114" s="804" t="n"/>
      <c r="F114" s="804" t="n"/>
      <c r="G114" s="804" t="n"/>
    </row>
    <row r="115" ht="16" customHeight="1" s="254">
      <c r="A115" s="794" t="inlineStr">
        <is>
          <t>Historical net before card fees</t>
        </is>
      </c>
      <c r="B115" s="835">
        <f>$B$113-$B$114</f>
        <v/>
      </c>
      <c r="C115" s="804" t="n"/>
      <c r="D115" s="804" t="n"/>
      <c r="E115" s="804" t="n"/>
      <c r="F115" s="804" t="n"/>
      <c r="G115" s="804" t="n"/>
    </row>
    <row r="116" ht="31" customHeight="1" s="254">
      <c r="A116" s="794" t="inlineStr">
        <is>
          <t>Implied retail price $/kWh</t>
        </is>
      </c>
      <c r="B116" s="836">
        <f>IFERROR(SUM($C$67:$C$102)/SUM($B$67:$B$102),0)</f>
        <v/>
      </c>
      <c r="C116" s="816" t="inlineStr">
        <is>
          <t>What drivers actually paid. Compare against the price proposed on the Revenue tab.</t>
        </is>
      </c>
      <c r="E116" s="804" t="n"/>
      <c r="F116" s="804" t="n"/>
      <c r="G116" s="804" t="n"/>
    </row>
    <row r="117" ht="31" customHeight="1" s="254">
      <c r="A117" s="794" t="inlineStr">
        <is>
          <t>Implied delivered cost $/kWh</t>
        </is>
      </c>
      <c r="B117" s="836">
        <f>IFERROR(SUM($E$67:$E$102)/SUM($B$67:$B$102),0)</f>
        <v/>
      </c>
      <c r="C117" s="816" t="inlineStr">
        <is>
          <t>What the utility actually charged, all-in. Far better than any tariff estimate.</t>
        </is>
      </c>
      <c r="E117" s="804" t="n"/>
      <c r="F117" s="804" t="n"/>
      <c r="G117" s="804" t="n"/>
    </row>
    <row r="118" ht="31" customHeight="1" s="254">
      <c r="A118" s="794" t="inlineStr">
        <is>
          <t>Average kWh per session</t>
        </is>
      </c>
      <c r="B118" s="829">
        <f>IFERROR(SUM($B$67:$B$102)/SUM($D$67:$D$102),0)</f>
        <v/>
      </c>
      <c r="C118" s="816" t="inlineStr">
        <is>
          <t>Typically 25 to 55 kWh on DC. A low figure suggests failed or abandoned sessions.</t>
        </is>
      </c>
      <c r="E118" s="804" t="n"/>
      <c r="F118" s="804" t="n"/>
      <c r="G118" s="804" t="n"/>
    </row>
    <row r="119" ht="31" customHeight="1" s="254">
      <c r="A119" s="794" t="inlineStr">
        <is>
          <t>Average ports working</t>
        </is>
      </c>
      <c r="B119" s="829">
        <f>IFERROR(AVERAGE($F$67:$F$102),0)</f>
        <v/>
      </c>
      <c r="C119" s="816" t="inlineStr">
        <is>
          <t>Against the ports installed. The gap between them is the availability the new equipment recovers.</t>
        </is>
      </c>
      <c r="E119" s="804" t="n"/>
      <c r="F119" s="804" t="n"/>
      <c r="G119" s="804" t="n"/>
    </row>
    <row r="120" ht="31" customHeight="1" s="254">
      <c r="A120" s="794" t="inlineStr">
        <is>
          <t>Historical availability</t>
        </is>
      </c>
      <c r="B120" s="837">
        <f>IFERROR(AVERAGE($F$67:$F$102)/$B$43,0)</f>
        <v/>
      </c>
      <c r="C120" s="816" t="inlineStr">
        <is>
          <t>Ports working as a share of ports installed. This is the recovery opportunity, quantified.</t>
        </is>
      </c>
      <c r="E120" s="804" t="n"/>
      <c r="F120" s="804" t="n"/>
      <c r="G120" s="804" t="n"/>
    </row>
    <row r="121" ht="16" customHeight="1" s="254">
      <c r="A121" s="811" t="n"/>
      <c r="B121" s="804" t="n"/>
      <c r="C121" s="804" t="n"/>
      <c r="D121" s="804" t="n"/>
      <c r="E121" s="804" t="n"/>
      <c r="F121" s="804" t="n"/>
      <c r="G121" s="804" t="n"/>
    </row>
    <row r="122" ht="43.5" customHeight="1" s="254">
      <c r="A122" s="823"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6" customHeight="1" s="254">
      <c r="A123" s="811" t="n"/>
      <c r="B123" s="804" t="n"/>
      <c r="C123" s="804" t="n"/>
      <c r="D123" s="804" t="n"/>
      <c r="E123" s="804" t="n"/>
      <c r="F123" s="804" t="n"/>
      <c r="G123" s="804" t="n"/>
    </row>
    <row r="124" ht="33.5" customHeight="1" s="254">
      <c r="A124" s="798" t="inlineStr">
        <is>
          <t>F · Port expansion and connector coverage</t>
        </is>
      </c>
      <c r="B124" s="945">
        <f>IF(OR($B$5="Greenfield — new service",$B$5="Greenfield — add load to existing service"),"— skip: nothing to expand from","— complete this section")</f>
        <v/>
      </c>
      <c r="C124" s="804" t="n"/>
      <c r="D124" s="804" t="n"/>
      <c r="E124" s="804" t="n"/>
      <c r="F124" s="804" t="n"/>
      <c r="G124" s="804" t="n"/>
    </row>
    <row r="125" ht="31" customHeight="1" s="254">
      <c r="A125" s="816" t="inlineStr">
        <is>
          <t>What the new equipment adds over the old. Each uplift below is stated separately so it can be challenged individually rather than hidden inside one optimistic growth rate.</t>
        </is>
      </c>
    </row>
    <row r="126" ht="16" customHeight="1" s="254">
      <c r="A126" s="781" t="inlineStr">
        <is>
          <t>Existing ports</t>
        </is>
      </c>
      <c r="B126" s="826">
        <f>$B$43</f>
        <v/>
      </c>
      <c r="C126" s="804" t="n"/>
      <c r="D126" s="804" t="n"/>
      <c r="E126" s="804" t="n"/>
      <c r="F126" s="804" t="n"/>
      <c r="G126" s="804" t="n"/>
    </row>
    <row r="127" ht="31" customHeight="1" s="254">
      <c r="A127" s="781" t="inlineStr">
        <is>
          <t>New ports</t>
        </is>
      </c>
      <c r="B127" s="826">
        <f>N(Equipment!B22)</f>
        <v/>
      </c>
      <c r="C127" s="816" t="inlineStr">
        <is>
          <t>From the Equipment tab. Dual-port cabinets present two positions each.</t>
        </is>
      </c>
      <c r="E127" s="804" t="n"/>
      <c r="F127" s="804" t="n"/>
      <c r="G127" s="804" t="n"/>
    </row>
    <row r="128" ht="31" customHeight="1" s="254">
      <c r="A128" s="794" t="inlineStr">
        <is>
          <t>Port count multiple</t>
        </is>
      </c>
      <c r="B128" s="838">
        <f>IF(OR($B$43=0,N(Equipment!B22)=0),1,Equipment!B22/$B$43)</f>
        <v/>
      </c>
      <c r="C128" s="816" t="inlineStr">
        <is>
          <t>More positions means more simultaneous vehicles, not proportionally more energy — see the capture factor below.</t>
        </is>
      </c>
      <c r="E128" s="804" t="n"/>
      <c r="F128" s="804" t="n"/>
      <c r="G128" s="804" t="n"/>
    </row>
    <row r="129" ht="16" customHeight="1" s="254">
      <c r="A129" s="811" t="n"/>
      <c r="B129" s="804" t="n"/>
      <c r="C129" s="804" t="n"/>
      <c r="D129" s="804" t="n"/>
      <c r="E129" s="804" t="n"/>
      <c r="F129" s="804" t="n"/>
      <c r="G129" s="804" t="n"/>
    </row>
    <row r="130" ht="31" customHeight="1" s="254">
      <c r="A130" s="824" t="inlineStr">
        <is>
          <t>Connector</t>
        </is>
      </c>
      <c r="B130" s="824" t="inlineStr">
        <is>
          <t>On the existing equipment</t>
        </is>
      </c>
      <c r="C130" s="824" t="inlineStr">
        <is>
          <t>On the new equipment</t>
        </is>
      </c>
      <c r="D130" s="824" t="inlineStr">
        <is>
          <t>Share of the California fleet</t>
        </is>
      </c>
      <c r="E130" s="824" t="n"/>
      <c r="F130" s="824" t="n"/>
      <c r="G130" s="824" t="n"/>
    </row>
    <row r="131" ht="16" customHeight="1" s="254">
      <c r="A131" s="825" t="inlineStr">
        <is>
          <t>NACS / Tesla</t>
        </is>
      </c>
      <c r="B131" s="799" t="inlineStr">
        <is>
          <t>No</t>
        </is>
      </c>
      <c r="C131" s="799" t="inlineStr">
        <is>
          <t>Yes</t>
        </is>
      </c>
      <c r="D131" s="839" t="n">
        <v>0.55</v>
      </c>
      <c r="E131" s="804" t="n"/>
      <c r="F131" s="804" t="n"/>
      <c r="G131" s="804" t="n"/>
    </row>
    <row r="132" ht="16" customHeight="1" s="254">
      <c r="A132" s="825" t="inlineStr">
        <is>
          <t>CCS1</t>
        </is>
      </c>
      <c r="B132" s="799" t="inlineStr">
        <is>
          <t>Yes</t>
        </is>
      </c>
      <c r="C132" s="799" t="inlineStr">
        <is>
          <t>Yes</t>
        </is>
      </c>
      <c r="D132" s="839" t="n">
        <v>0.4</v>
      </c>
      <c r="E132" s="804" t="n"/>
      <c r="F132" s="804" t="n"/>
      <c r="G132" s="804" t="n"/>
    </row>
    <row r="133" ht="16" customHeight="1" s="254">
      <c r="A133" s="825" t="inlineStr">
        <is>
          <t>CHAdeMO</t>
        </is>
      </c>
      <c r="B133" s="799" t="inlineStr">
        <is>
          <t>Yes</t>
        </is>
      </c>
      <c r="C133" s="799" t="inlineStr">
        <is>
          <t>No</t>
        </is>
      </c>
      <c r="D133" s="839" t="n">
        <v>0.03</v>
      </c>
      <c r="E133" s="804" t="n"/>
      <c r="F133" s="804" t="n"/>
      <c r="G133" s="804" t="n"/>
    </row>
    <row r="134" ht="16" customHeight="1" s="254">
      <c r="A134" s="825" t="inlineStr">
        <is>
          <t>J1772 (Level 2)</t>
        </is>
      </c>
      <c r="B134" s="799" t="inlineStr">
        <is>
          <t>No</t>
        </is>
      </c>
      <c r="C134" s="799" t="inlineStr">
        <is>
          <t>Yes</t>
        </is>
      </c>
      <c r="D134" s="839" t="n">
        <v>0.02</v>
      </c>
      <c r="E134" s="804" t="n"/>
      <c r="F134" s="804" t="n"/>
      <c r="G134" s="804" t="n"/>
    </row>
    <row r="135" ht="16" customHeight="1" s="254">
      <c r="A135" s="811" t="n"/>
      <c r="B135" s="804" t="n"/>
      <c r="C135" s="804" t="n"/>
      <c r="D135" s="804" t="n"/>
      <c r="E135" s="804" t="n"/>
      <c r="F135" s="804" t="n"/>
      <c r="G135" s="804" t="n"/>
    </row>
    <row r="136" ht="31" customHeight="1" s="254">
      <c r="A136" s="816" t="inlineStr">
        <is>
          <t>Enter the share of the local fleet each connector reaches. Tesla vehicles are the largest single population in California, so a site that could not serve them natively was turning away a large share of passing demand.</t>
        </is>
      </c>
    </row>
    <row r="137" ht="16" customHeight="1" s="254">
      <c r="A137" s="781" t="inlineStr">
        <is>
          <t>Fleet coverage today</t>
        </is>
      </c>
      <c r="B137" s="840">
        <f>SUMIF($B$131:$B$134,"Yes",$D$131:$D$134)</f>
        <v/>
      </c>
      <c r="C137" s="816" t="inlineStr">
        <is>
          <t>Share of the fleet the existing connectors serve natively.</t>
        </is>
      </c>
      <c r="E137" s="804" t="n"/>
      <c r="F137" s="804" t="n"/>
      <c r="G137" s="804" t="n"/>
    </row>
    <row r="138" ht="16" customHeight="1" s="254">
      <c r="A138" s="781" t="inlineStr">
        <is>
          <t>Fleet coverage after replacement</t>
        </is>
      </c>
      <c r="B138" s="840">
        <f>SUMIF($C$131:$C$134,"Yes",$D$131:$D$134)</f>
        <v/>
      </c>
      <c r="C138" s="804" t="n"/>
      <c r="D138" s="804" t="n"/>
      <c r="E138" s="804" t="n"/>
      <c r="F138" s="804" t="n"/>
      <c r="G138" s="804" t="n"/>
    </row>
    <row r="139" ht="31" customHeight="1" s="254">
      <c r="A139" s="794" t="inlineStr">
        <is>
          <t>Coverage multiple</t>
        </is>
      </c>
      <c r="B139" s="838">
        <f>IFERROR($B$138/$B$137,1)</f>
        <v/>
      </c>
      <c r="C139" s="816" t="inlineStr">
        <is>
          <t>Adding NACS to a CCS-only site is the single largest addressable-market change available on a replacement project.</t>
        </is>
      </c>
      <c r="E139" s="804" t="n"/>
      <c r="F139" s="804" t="n"/>
      <c r="G139" s="804" t="n"/>
    </row>
    <row r="140" ht="16" customHeight="1" s="254">
      <c r="A140" s="811" t="n"/>
      <c r="B140" s="804" t="n"/>
      <c r="C140" s="804" t="n"/>
      <c r="D140" s="804" t="n"/>
      <c r="E140" s="804" t="n"/>
      <c r="F140" s="804" t="n"/>
      <c r="G140" s="804" t="n"/>
    </row>
    <row r="141" ht="31" customHeight="1" s="254">
      <c r="A141" s="781" t="inlineStr">
        <is>
          <t>Existing power per position (kW)</t>
        </is>
      </c>
      <c r="B141" s="841">
        <f>IFERROR(SUMPRODUCT(--($B$33:$B$40&gt;=30),$B$33:$B$40,$E$33:$E$40)/SUMPRODUCT(--($B$33:$B$40&gt;=30),$C$33:$C$40,$E$33:$E$40),0)</f>
        <v/>
      </c>
      <c r="C141" s="816" t="inlineStr">
        <is>
          <t>DC positions only. Blending Level 2 into this average understates the old power and inflates the uplift.</t>
        </is>
      </c>
      <c r="E141" s="804" t="n"/>
      <c r="F141" s="804" t="n"/>
      <c r="G141" s="804" t="n"/>
    </row>
    <row r="142" ht="16" customHeight="1" s="254">
      <c r="A142" s="781" t="inlineStr">
        <is>
          <t>New power per position (kW)</t>
        </is>
      </c>
      <c r="B142" s="841">
        <f>IF(N(Equipment!B22)=0,0,Equipment!B23/Equipment!B22)</f>
        <v/>
      </c>
      <c r="C142" s="804" t="n"/>
      <c r="D142" s="804" t="n"/>
      <c r="E142" s="804" t="n"/>
      <c r="F142" s="804" t="n"/>
      <c r="G142" s="804" t="n"/>
    </row>
    <row r="143" ht="43.5" customHeight="1" s="254">
      <c r="A143" s="794" t="inlineStr">
        <is>
          <t>Power multiple</t>
        </is>
      </c>
      <c r="B143" s="838">
        <f>IF(OR($B$141=0,$B$142=0),1,MIN(2,$B$142/$B$141))</f>
        <v/>
      </c>
      <c r="C143" s="816" t="inlineStr">
        <is>
          <t>Capped at 2.00x. Faster charging frees the stall sooner, but beyond roughly double the constraint stops being how fast the hardware charges and becomes how many vehicles arrive. Raising the cap does not make demand appear.</t>
        </is>
      </c>
    </row>
    <row r="144" ht="16" customHeight="1" s="254">
      <c r="A144" s="811" t="n"/>
      <c r="B144" s="804" t="n"/>
      <c r="C144" s="804" t="n"/>
      <c r="D144" s="804" t="n"/>
      <c r="E144" s="804" t="n"/>
      <c r="F144" s="804" t="n"/>
      <c r="G144" s="804" t="n"/>
    </row>
    <row r="145" ht="33.5" customHeight="1" s="254">
      <c r="A145" s="798" t="inlineStr">
        <is>
          <t>G · Projected baseline — history plus stated uplifts</t>
        </is>
      </c>
      <c r="B145" s="945">
        <f>IF(OR($B$5="Greenfield — new service",$B$5="Greenfield — add load to existing service"),"— skip: projection is on the Revenue tab","— derived from E and F")</f>
        <v/>
      </c>
      <c r="C145" s="804" t="n"/>
      <c r="D145" s="804" t="n"/>
      <c r="E145" s="804" t="n"/>
      <c r="F145" s="804" t="n"/>
      <c r="G145" s="804" t="n"/>
    </row>
    <row r="146" ht="43.5" customHeight="1" s="254">
      <c r="A146" s="816"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6" customHeight="1" s="254">
      <c r="A147" s="781" t="inlineStr">
        <is>
          <t>Historical kWh per year</t>
        </is>
      </c>
      <c r="B147" s="826">
        <f>$B$112</f>
        <v/>
      </c>
      <c r="C147" s="816" t="inlineStr">
        <is>
          <t>From section E. The starting point.</t>
        </is>
      </c>
      <c r="D147" s="804" t="n"/>
      <c r="E147" s="804" t="n"/>
      <c r="F147" s="804" t="n"/>
      <c r="G147" s="804" t="n"/>
    </row>
    <row r="148" ht="16" customHeight="1" s="254">
      <c r="A148" s="811" t="n"/>
      <c r="B148" s="804" t="n"/>
      <c r="C148" s="804" t="n"/>
      <c r="D148" s="804" t="n"/>
      <c r="E148" s="804" t="n"/>
      <c r="F148" s="804" t="n"/>
      <c r="G148" s="804" t="n"/>
    </row>
    <row r="149" ht="16" customHeight="1" s="254">
      <c r="A149" s="824" t="inlineStr">
        <is>
          <t>Uplift</t>
        </is>
      </c>
      <c r="B149" s="824" t="inlineStr">
        <is>
          <t>Theoretical multiple</t>
        </is>
      </c>
      <c r="C149" s="824" t="inlineStr">
        <is>
          <t>Capture factor</t>
        </is>
      </c>
      <c r="D149" s="824" t="inlineStr">
        <is>
          <t>Applied multiple</t>
        </is>
      </c>
      <c r="E149" s="824" t="inlineStr">
        <is>
          <t>Basis</t>
        </is>
      </c>
      <c r="F149" s="824" t="n"/>
      <c r="G149" s="824" t="n"/>
    </row>
    <row r="150" ht="68.5" customHeight="1" s="254">
      <c r="A150" s="825" t="inlineStr">
        <is>
          <t>Availability recovered</t>
        </is>
      </c>
      <c r="B150" s="842">
        <f>IFERROR(1/$B$120,1)</f>
        <v/>
      </c>
      <c r="C150" s="839" t="n">
        <v>0.85</v>
      </c>
      <c r="D150" s="842">
        <f>1+($B$150-1)*$C$150</f>
        <v/>
      </c>
      <c r="E150" s="825" t="inlineStr">
        <is>
          <t>Ports that were dark now work. The most defensible uplift on the list — the demand was already there and was turned away.</t>
        </is>
      </c>
      <c r="F150" s="299" t="n"/>
      <c r="G150" s="299" t="n"/>
    </row>
    <row r="151" ht="68.5" customHeight="1" s="254">
      <c r="A151" s="825" t="inlineStr">
        <is>
          <t>Ports added</t>
        </is>
      </c>
      <c r="B151" s="842">
        <f>$B$128</f>
        <v/>
      </c>
      <c r="C151" s="839" t="n">
        <v>0.4</v>
      </c>
      <c r="D151" s="842">
        <f>1+($B$151-1)*$C$151</f>
        <v/>
      </c>
      <c r="E151" s="825" t="inlineStr">
        <is>
          <t>More positions capture more simultaneous arrivals, but a second position does not double demand — it shortens the queue.</t>
        </is>
      </c>
      <c r="F151" s="299" t="n"/>
      <c r="G151" s="299" t="n"/>
    </row>
    <row r="152" ht="68.5" customHeight="1" s="254">
      <c r="A152" s="825" t="inlineStr">
        <is>
          <t>Connector coverage widened</t>
        </is>
      </c>
      <c r="B152" s="842">
        <f>$B$139</f>
        <v/>
      </c>
      <c r="C152" s="839" t="n">
        <v>0.5</v>
      </c>
      <c r="D152" s="842">
        <f>1+($B$152-1)*$C$152</f>
        <v/>
      </c>
      <c r="E152" s="825" t="inlineStr">
        <is>
          <t>Vehicles that could not charge here now can. Capture is below one because some of those drivers were already served nearby.</t>
        </is>
      </c>
      <c r="F152" s="299" t="n"/>
      <c r="G152" s="299" t="n"/>
    </row>
    <row r="153" ht="56" customHeight="1" s="254">
      <c r="A153" s="825" t="inlineStr">
        <is>
          <t>Higher delivered power</t>
        </is>
      </c>
      <c r="B153" s="842">
        <f>$B$143</f>
        <v/>
      </c>
      <c r="C153" s="839" t="n">
        <v>0.25</v>
      </c>
      <c r="D153" s="842">
        <f>1+($B$153-1)*$C$153</f>
        <v/>
      </c>
      <c r="E153" s="825" t="inlineStr">
        <is>
          <t>Faster sessions free the stall sooner. Only converts to energy where demand is waiting for a stall.</t>
        </is>
      </c>
      <c r="F153" s="299" t="n"/>
      <c r="G153" s="299" t="n"/>
    </row>
    <row r="154" ht="16" customHeight="1" s="254">
      <c r="A154" s="811" t="n"/>
      <c r="B154" s="804" t="n"/>
      <c r="C154" s="804" t="n"/>
      <c r="D154" s="804" t="n"/>
      <c r="E154" s="804" t="n"/>
      <c r="F154" s="804" t="n"/>
      <c r="G154" s="804" t="n"/>
    </row>
    <row r="155" ht="31" customHeight="1" s="254">
      <c r="A155" s="794" t="inlineStr">
        <is>
          <t>Combined uplift multiple</t>
        </is>
      </c>
      <c r="B155" s="838">
        <f>$D$150*$D$151*$D$152*$D$153</f>
        <v/>
      </c>
      <c r="C155" s="816" t="inlineStr">
        <is>
          <t>The four applied multiples compounded. Sense-check it against the site factor on the Revenue tab.</t>
        </is>
      </c>
      <c r="E155" s="804" t="n"/>
      <c r="F155" s="804" t="n"/>
      <c r="G155" s="804" t="n"/>
    </row>
    <row r="156" ht="31" customHeight="1" s="254">
      <c r="A156" s="794" t="inlineStr">
        <is>
          <t>Projected kWh per year at steady state</t>
        </is>
      </c>
      <c r="B156" s="828">
        <f>$B$147*$B$155</f>
        <v/>
      </c>
      <c r="C156" s="816" t="inlineStr">
        <is>
          <t>History times the combined uplift. This is what the Revenue tab should use instead of the market benchmark.</t>
        </is>
      </c>
      <c r="E156" s="804" t="n"/>
      <c r="F156" s="804" t="n"/>
      <c r="G156" s="804" t="n"/>
    </row>
    <row r="157" ht="16" customHeight="1" s="254">
      <c r="A157" s="794" t="inlineStr">
        <is>
          <t>Projected kWh per day</t>
        </is>
      </c>
      <c r="B157" s="829">
        <f>$B$156/365</f>
        <v/>
      </c>
      <c r="C157" s="804" t="n"/>
      <c r="D157" s="804" t="n"/>
      <c r="E157" s="804" t="n"/>
      <c r="F157" s="804" t="n"/>
      <c r="G157" s="804" t="n"/>
    </row>
    <row r="158" ht="16" customHeight="1" s="254">
      <c r="A158" s="811" t="n"/>
      <c r="B158" s="804" t="n"/>
      <c r="C158" s="804" t="n"/>
      <c r="D158" s="804" t="n"/>
      <c r="E158" s="804" t="n"/>
      <c r="F158" s="804" t="n"/>
      <c r="G158" s="804" t="n"/>
    </row>
    <row r="159" ht="43.5" customHeight="1" s="254">
      <c r="A159" s="794" t="inlineStr">
        <is>
          <t>Sanity check against capacity</t>
        </is>
      </c>
      <c r="B159" s="822">
        <f>IF(OR($B$156=0,N(Equipment!B23)=0),"enter history and the new equipment",IF($B$156/365/(24*Equipment!B23*0.7)&gt;0.35,"TOO HIGH — the projection implies more than 35% port-time utilisation. Reduce a capture factor.","OK — implies "&amp;TEXT($B$156/365/(24*Equipment!B23*0.7),"0.0%")&amp;" port-time utilisation"))</f>
        <v/>
      </c>
      <c r="C159" s="299" t="n"/>
      <c r="D159" s="816" t="inlineStr">
        <is>
          <t>Stops an optimistic stack of uplifts producing a number the hardware cannot physically deliver.</t>
        </is>
      </c>
      <c r="F159" s="804" t="n"/>
      <c r="G159" s="804" t="n"/>
    </row>
    <row r="160" ht="16" customHeight="1" s="254">
      <c r="A160" s="794" t="inlineStr">
        <is>
          <t>Projection against history</t>
        </is>
      </c>
      <c r="B160" s="822">
        <f>IF($B$147=0,"enter history",TEXT($B$155,"0.00")&amp;"x the historical run rate — "&amp;TEXT($B$156-$B$147,"+#,##0;-#,##0")&amp;" kWh a year")</f>
        <v/>
      </c>
      <c r="C160" s="299" t="n"/>
      <c r="D160" s="804" t="n"/>
      <c r="E160" s="804" t="n"/>
      <c r="F160" s="804" t="n"/>
      <c r="G160" s="804" t="n"/>
    </row>
    <row r="161" ht="16" customHeight="1" s="254">
      <c r="A161" s="811" t="n"/>
      <c r="B161" s="804" t="n"/>
      <c r="C161" s="804" t="n"/>
      <c r="D161" s="804" t="n"/>
      <c r="E161" s="804" t="n"/>
      <c r="F161" s="804" t="n"/>
      <c r="G161" s="804" t="n"/>
    </row>
    <row r="162" ht="19.75" customHeight="1" s="254">
      <c r="A162" s="798" t="inlineStr">
        <is>
          <t>Cross-check against the market</t>
        </is>
      </c>
      <c r="B162" s="804" t="n"/>
      <c r="C162" s="804" t="n"/>
      <c r="D162" s="804" t="n"/>
      <c r="E162" s="804" t="n"/>
      <c r="F162" s="804" t="n"/>
      <c r="G162" s="804" t="n"/>
    </row>
    <row r="163" ht="31" customHeight="1" s="254">
      <c r="A163" s="816" t="inlineStr">
        <is>
          <t>The capacity check above asks whether the hardware could physically deliver the projection. This asks whether the market would. Both have to pass, and the market one is usually the binding constraint.</t>
        </is>
      </c>
    </row>
    <row r="164" ht="43.5" customHeight="1" s="254">
      <c r="A164" s="781" t="inlineStr">
        <is>
          <t>Implied port-time utilisation</t>
        </is>
      </c>
      <c r="B164" s="840">
        <f>IF(N(Equipment!$B$26)&gt;0,IF(LEFT(Revenue!$B$59,10)="Historical",N($B$156),N(Revenue!$B$78))/365/(24*Equipment!$B$26*0.7),IF(OR(N(Revenue!$B$107)=0,N(Revenue!$B$108)=0),0,IF(LEFT(Revenue!$B$59,10)="Historical",N($B$156)/365/Revenue!$B$107,Revenue!$B$111)/(24*Revenue!$B$108*Revenue!$B$15)))</f>
        <v/>
      </c>
      <c r="C164" s="816"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6" customHeight="1" s="254">
      <c r="A165" s="781" t="inlineStr">
        <is>
          <t>Benchmark port utilisation</t>
        </is>
      </c>
      <c r="B165" s="840">
        <f>IF(Revenue!$B$45="",0,IF(N(Equipment!$B$26)&gt;0,IFERROR(INDEX(BM_UTIL,MATCH(Revenue!$B$45,BM_STATE,0)),0),IF(N(Revenue!$B$108)*N(Revenue!$B$15)=0,0,IFERROR(INDEX(BM_L2_KWH,MATCH(Revenue!$B$45,BM_L2_STATE,0)),0)/(24*Revenue!$B$108*Revenue!$B$15))))</f>
        <v/>
      </c>
      <c r="C165" s="814"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31" customHeight="1" s="254">
      <c r="A166" s="781" t="inlineStr">
        <is>
          <t>Projection as a share of the state average</t>
        </is>
      </c>
      <c r="B166" s="840">
        <f>IF(N($B$165)=0,0,N($B$164)/N($B$165))</f>
        <v/>
      </c>
      <c r="C166" s="816" t="inlineStr">
        <is>
          <t>Above 100% means the projection assumes this site beats the average Californian port.</t>
        </is>
      </c>
      <c r="E166" s="804" t="n"/>
      <c r="F166" s="804" t="n"/>
      <c r="G166" s="804" t="n"/>
    </row>
    <row r="167" ht="68.5" customHeight="1" s="254">
      <c r="A167" s="794" t="inlineStr">
        <is>
          <t>Market plausibility</t>
        </is>
      </c>
      <c r="B167" s="822">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816" t="inlineStr">
        <is>
          <t>A replacement can transform a site, but it cannot make it beat the market by a wide margin without a reason a reader can check. Tested against the DC benchmark on a DC site and the Level 2 benchmark on an all-Level-2 site.</t>
        </is>
      </c>
      <c r="G167" s="804" t="n"/>
    </row>
    <row r="168" ht="16" customHeight="1" s="254">
      <c r="A168" s="811" t="inlineStr">
        <is>
          <t>Market the benchmark is for</t>
        </is>
      </c>
      <c r="B168" s="821">
        <f>IF(Revenue!$B$45="","NO MARKET CHOSEN — set it on the Revenue tab",Revenue!$B$45)</f>
        <v/>
      </c>
      <c r="C168" s="814" t="inlineStr">
        <is>
          <t>Reads the Revenue tab. It is not a second place to type a market.</t>
        </is>
      </c>
      <c r="E168" s="804" t="n"/>
      <c r="F168" s="804" t="n"/>
      <c r="G168" s="804" t="n"/>
    </row>
    <row r="169" ht="43.5" customHeight="1" s="254">
      <c r="A169" s="823"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6" customHeight="1" s="254">
      <c r="A170" s="811" t="n"/>
      <c r="B170" s="804" t="n"/>
      <c r="C170" s="804" t="n"/>
      <c r="D170" s="804" t="n"/>
      <c r="E170" s="804" t="n"/>
      <c r="F170" s="804" t="n"/>
      <c r="G170" s="804" t="n"/>
    </row>
    <row r="171" ht="33.5" customHeight="1" s="254">
      <c r="A171" s="798" t="inlineStr">
        <is>
          <t>H · Removal, disposal and site protection</t>
        </is>
      </c>
      <c r="B171" s="945">
        <f>IF(OR($B$5="Greenfield — new service",$B$5="Greenfield — add load to existing service"),"— skip: nothing to remove","— complete this section")</f>
        <v/>
      </c>
      <c r="C171" s="804" t="n"/>
      <c r="D171" s="804" t="n"/>
      <c r="E171" s="804" t="n"/>
      <c r="F171" s="804" t="n"/>
      <c r="G171" s="804" t="n"/>
    </row>
    <row r="172" ht="16" customHeight="1" s="254">
      <c r="A172" s="816" t="inlineStr">
        <is>
          <t>What it costs to take the old installation out. This is real scope on a replacement project and zero on a greenfield one.</t>
        </is>
      </c>
    </row>
    <row r="173" ht="16" customHeight="1" s="254">
      <c r="A173" s="824" t="inlineStr">
        <is>
          <t>Item</t>
        </is>
      </c>
      <c r="B173" s="824" t="inlineStr">
        <is>
          <t>Quantity</t>
        </is>
      </c>
      <c r="C173" s="824" t="inlineStr">
        <is>
          <t>Note</t>
        </is>
      </c>
      <c r="D173" s="824" t="n"/>
      <c r="E173" s="824" t="n"/>
      <c r="F173" s="824" t="n"/>
      <c r="G173" s="824" t="n"/>
    </row>
    <row r="174" ht="31" customHeight="1" s="254">
      <c r="A174" s="825" t="inlineStr">
        <is>
          <t>Cabinets to disconnect and remove (ea)</t>
        </is>
      </c>
      <c r="B174" s="818" t="n">
        <v>4</v>
      </c>
      <c r="C174" s="825" t="inlineStr">
        <is>
          <t>Includes de-energising, lockout and terminations</t>
        </is>
      </c>
      <c r="D174" s="804" t="n"/>
      <c r="E174" s="804" t="n"/>
      <c r="F174" s="804" t="n"/>
      <c r="G174" s="804" t="n"/>
    </row>
    <row r="175" ht="16" customHeight="1" s="254">
      <c r="A175" s="825" t="inlineStr">
        <is>
          <t>Concrete pads to break out (ea)</t>
        </is>
      </c>
      <c r="B175" s="818" t="n">
        <v>4</v>
      </c>
      <c r="C175" s="825" t="inlineStr">
        <is>
          <t>Saw-cut, break, remove and dispose</t>
        </is>
      </c>
      <c r="D175" s="804" t="n"/>
      <c r="E175" s="804" t="n"/>
      <c r="F175" s="804" t="n"/>
      <c r="G175" s="804" t="n"/>
    </row>
    <row r="176" ht="16" customHeight="1" s="254">
      <c r="A176" s="825" t="inlineStr">
        <is>
          <t>Bollards to remove (ea)</t>
        </is>
      </c>
      <c r="B176" s="818" t="n">
        <v>8</v>
      </c>
      <c r="C176" s="843" t="n"/>
      <c r="D176" s="804" t="n"/>
      <c r="E176" s="804" t="n"/>
      <c r="F176" s="804" t="n"/>
      <c r="G176" s="804" t="n"/>
    </row>
    <row r="177" ht="16" customHeight="1" s="254">
      <c r="A177" s="825" t="inlineStr">
        <is>
          <t>Signage to remove (ea)</t>
        </is>
      </c>
      <c r="B177" s="818" t="n">
        <v>4</v>
      </c>
      <c r="C177" s="843" t="n"/>
      <c r="D177" s="804" t="n"/>
      <c r="E177" s="804" t="n"/>
      <c r="F177" s="804" t="n"/>
      <c r="G177" s="804" t="n"/>
    </row>
    <row r="178" ht="31" customHeight="1" s="254">
      <c r="A178" s="825" t="inlineStr">
        <is>
          <t>Disposal loads (ea)</t>
        </is>
      </c>
      <c r="B178" s="818" t="n">
        <v>2</v>
      </c>
      <c r="C178" s="825" t="inlineStr">
        <is>
          <t>Concrete and steel to a licensed facility</t>
        </is>
      </c>
      <c r="D178" s="804" t="n"/>
      <c r="E178" s="804" t="n"/>
      <c r="F178" s="804" t="n"/>
      <c r="G178" s="804" t="n"/>
    </row>
    <row r="179" ht="16" customHeight="1" s="254">
      <c r="A179" s="825" t="inlineStr">
        <is>
          <t>Equipment recycling or resale?</t>
        </is>
      </c>
      <c r="B179" s="799" t="inlineStr">
        <is>
          <t>Yes</t>
        </is>
      </c>
      <c r="C179" s="825" t="inlineStr">
        <is>
          <t>Working units may carry salvage value</t>
        </is>
      </c>
      <c r="D179" s="804" t="n"/>
      <c r="E179" s="804" t="n"/>
      <c r="F179" s="804" t="n"/>
      <c r="G179" s="804" t="n"/>
    </row>
    <row r="180" ht="16" customHeight="1" s="254">
      <c r="A180" s="825" t="inlineStr">
        <is>
          <t>Hazardous material identified?</t>
        </is>
      </c>
      <c r="B180" s="799" t="inlineStr">
        <is>
          <t>No</t>
        </is>
      </c>
      <c r="C180" s="825" t="inlineStr">
        <is>
          <t>Older units may contain fluids requiring special handling</t>
        </is>
      </c>
      <c r="D180" s="299" t="n"/>
      <c r="E180" s="804" t="n"/>
      <c r="F180" s="804" t="n"/>
      <c r="G180" s="804" t="n"/>
    </row>
    <row r="181" ht="31" customHeight="1" s="254">
      <c r="A181" s="825" t="inlineStr">
        <is>
          <t>Temporary charging required during works?</t>
        </is>
      </c>
      <c r="B181" s="799" t="inlineStr">
        <is>
          <t>No</t>
        </is>
      </c>
      <c r="C181" s="825" t="inlineStr">
        <is>
          <t>If the site cannot go dark, this is a separate cost</t>
        </is>
      </c>
      <c r="D181" s="804" t="n"/>
      <c r="E181" s="804" t="n"/>
      <c r="F181" s="804" t="n"/>
      <c r="G181" s="804" t="n"/>
    </row>
    <row r="182" ht="31" customHeight="1" s="254">
      <c r="A182" s="825" t="inlineStr">
        <is>
          <t>Site protection and traffic control (days)</t>
        </is>
      </c>
      <c r="B182" s="818" t="n">
        <v>5</v>
      </c>
      <c r="C182" s="825" t="inlineStr">
        <is>
          <t>Barriers, cones and signage around a live customer lot</t>
        </is>
      </c>
      <c r="D182" s="804" t="n"/>
      <c r="E182" s="804" t="n"/>
      <c r="F182" s="804" t="n"/>
      <c r="G182" s="804" t="n"/>
    </row>
    <row r="183" ht="16" customHeight="1" s="254">
      <c r="A183" s="811" t="n"/>
      <c r="B183" s="804" t="n"/>
      <c r="C183" s="804" t="n"/>
      <c r="D183" s="804" t="n"/>
      <c r="E183" s="804" t="n"/>
      <c r="F183" s="804" t="n"/>
      <c r="G183" s="804" t="n"/>
    </row>
    <row r="184" ht="31" customHeight="1" s="254">
      <c r="A184" s="781" t="inlineStr">
        <is>
          <t>•</t>
        </is>
      </c>
      <c r="B184" s="781" t="inlineStr">
        <is>
          <t>Removal, disposal and pad replacement are entered on the Construction tab as quantities like any other construction line. This section is where the quantities come from.</t>
        </is>
      </c>
    </row>
    <row r="185" ht="31" customHeight="1" s="254">
      <c r="A185" s="781" t="inlineStr">
        <is>
          <t>•</t>
        </is>
      </c>
      <c r="B185" s="781" t="inlineStr">
        <is>
          <t>A site that must keep charging during the works needs a phased programme and possibly temporary units. That is not in the standard scope and should be priced separately.</t>
        </is>
      </c>
    </row>
    <row r="186" ht="31" customHeight="1" s="254">
      <c r="A186" s="781" t="inlineStr">
        <is>
          <t>•</t>
        </is>
      </c>
      <c r="B186" s="781" t="inlineStr">
        <is>
          <t>Working units removed from service can carry salvage value. Where the client wants that credited, it belongs on the Overrides tab as an override, not buried in the construction estimate.</t>
        </is>
      </c>
    </row>
    <row r="187" ht="16" customHeight="1" s="254">
      <c r="A187" s="811" t="n"/>
      <c r="B187" s="804" t="n"/>
      <c r="C187" s="804" t="n"/>
      <c r="D187" s="804" t="n"/>
      <c r="E187" s="804" t="n"/>
      <c r="F187" s="804" t="n"/>
      <c r="G187" s="804" t="n"/>
    </row>
    <row r="188" ht="47.25" customHeight="1" s="254">
      <c r="A188" s="798" t="inlineStr">
        <is>
          <t>I · Capacity of the existing service — add-load and replacement projects</t>
        </is>
      </c>
      <c r="B188" s="945">
        <f>IF($B$5&lt;&gt;"Greenfield — new service","— complete this section","— skip: new service")</f>
        <v/>
      </c>
      <c r="C188" s="804" t="n"/>
      <c r="D188" s="804" t="n"/>
      <c r="E188" s="804" t="n"/>
      <c r="F188" s="804" t="n"/>
      <c r="G188" s="804" t="n"/>
    </row>
    <row r="189" ht="56" customHeight="1" s="254">
      <c r="A189" s="816"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31" customHeight="1" s="254">
      <c r="A190" s="781" t="inlineStr">
        <is>
          <t>New load to be added (kW)</t>
        </is>
      </c>
      <c r="B190" s="946">
        <f>N(Electrical!$B$137)</f>
        <v/>
      </c>
      <c r="C190" s="816" t="inlineStr">
        <is>
          <t>From the Electrical tab: full nameplate from the equipment schedule, or the managed cap when load management is proposed.</t>
        </is>
      </c>
    </row>
    <row r="191" ht="31" customHeight="1" s="254">
      <c r="A191" s="781" t="inlineStr">
        <is>
          <t>New load at 125% (A)</t>
        </is>
      </c>
      <c r="B191" s="826">
        <f>IF(OR(N($B$190)=0,NOT(ISNUMBER($B$51))),0,$B$190*1000/($B$51*SQRT(3))*1.25)</f>
        <v/>
      </c>
      <c r="C191" s="816" t="inlineStr">
        <is>
          <t>kW × 1000 ÷ (V × √3) × 1.25 — the continuous-load rule. This is what the existing service has to have free.</t>
        </is>
      </c>
    </row>
    <row r="192" ht="43.5" customHeight="1" s="254">
      <c r="A192" s="781" t="inlineStr">
        <is>
          <t>Existing peak demand, last 12 months (kW)</t>
        </is>
      </c>
      <c r="B192" s="818" t="n">
        <v>320</v>
      </c>
      <c r="C192" s="816" t="inlineStr">
        <is>
          <t>Highest fifteen-minute demand on the utility interval data or bills for the last twelve months (NEC 220.87). The strongest basis there is. Leave blank if you do not have it — the row below then falls back to the spare capacity on row 52.</t>
        </is>
      </c>
    </row>
    <row r="193" ht="31" customHeight="1" s="254">
      <c r="A193" s="781" t="inlineStr">
        <is>
          <t>Existing peak demand at 125% (A)</t>
        </is>
      </c>
      <c r="B193" s="826">
        <f>IF(OR(NOT(ISNUMBER($B$192)),NOT(ISNUMBER($B$51))),0,$B$192*1000/($B$51*SQRT(3))*1.25)</f>
        <v/>
      </c>
      <c r="C193" s="816" t="inlineStr">
        <is>
          <t>What the code takes the existing load to be. Service headroom is the service size less this figure.</t>
        </is>
      </c>
    </row>
    <row r="194" ht="31" customHeight="1" s="254">
      <c r="A194" s="781" t="inlineStr">
        <is>
          <t>Load basis in force</t>
        </is>
      </c>
      <c r="B194" s="821">
        <f>IF(ISNUMBER($B$192),"NEC 220.87 — measured peak demand",IF(ISNUMBER($B$52),"Spare capacity stated on row 52",IF(ISNUMBER($B$50),"Service size only — no existing-load data","no basis yet")))</f>
        <v/>
      </c>
      <c r="C194" s="816" t="inlineStr">
        <is>
          <t>Which of the three answers the verdict rests on. Measured demand beats a stated figure; a stated figure beats the service size.</t>
        </is>
      </c>
    </row>
    <row r="195" ht="31" customHeight="1" s="254">
      <c r="A195" s="781" t="inlineStr">
        <is>
          <t>Capacity available for the new load (A)</t>
        </is>
      </c>
      <c r="B195" s="826">
        <f>IF(NOT(ISNUMBER($B$51)),0,IF(ISNUMBER($B$192),MAX(0,N($B$50)-$B$193),IF(ISNUMBER($B$52),$B$52+IF(AND(NOT(OR($B$5="Greenfield — new service",$B$5="Greenfield — add load to existing service")),$B$44&gt;0),$B$44*1000/($B$51*SQRT(3)),0),N($B$50))))</f>
        <v/>
      </c>
      <c r="C195" s="816" t="inlineStr">
        <is>
          <t>Service size less the existing demand at 125%; or the stated spare capacity plus, on a replacement, the current the removed chargers give back; or the bare service size.</t>
        </is>
      </c>
    </row>
    <row r="196" ht="31" customHeight="1" s="254">
      <c r="A196" s="781" t="inlineStr">
        <is>
          <t>Space on the existing gear for the new feeder?</t>
        </is>
      </c>
      <c r="B196" s="799" t="inlineStr">
        <is>
          <t>Yes</t>
        </is>
      </c>
      <c r="C196" s="816" t="inlineStr">
        <is>
          <t>A spare main-section breaker, a spare section or a tap position to land the new feeder. If there is none, a section extension or a tap box goes on the Electrical distribution schedule.</t>
        </is>
      </c>
    </row>
    <row r="197" ht="43.5" customHeight="1" s="254">
      <c r="A197" s="781" t="inlineStr">
        <is>
          <t>Utility notified of the added load?</t>
        </is>
      </c>
      <c r="B197" s="799" t="inlineStr">
        <is>
          <t>Yes</t>
        </is>
      </c>
      <c r="C197" s="816" t="inlineStr">
        <is>
          <t>Adding load to an existing service is still an application with most utilities (an added-load or increase-in-load request above a threshold), even when no new service is built. Record the application in Electrical section F.</t>
        </is>
      </c>
    </row>
    <row r="198" ht="43.5" customHeight="1" s="254">
      <c r="A198" s="794" t="inlineStr">
        <is>
          <t>Service verdict</t>
        </is>
      </c>
      <c r="B198" s="822">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814" t="inlineStr">
        <is>
          <t>Row 60 reads this. UPGRADE NEEDED means a new or enlarged service: change the project type or the register, and price the service as greenfield electrical.</t>
        </is>
      </c>
    </row>
    <row r="199" ht="56" customHeight="1" s="254">
      <c r="A199" s="794" t="inlineStr">
        <is>
          <t>Switchgear frame verdict</t>
        </is>
      </c>
      <c r="B199" s="822">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814" t="inlineStr">
        <is>
          <t>Row 61 reads this, and so does the engine. With measured demand the frame must carry existing demand plus the new load; with spare capacity it must carry the load already on it plus the new load.</t>
        </is>
      </c>
    </row>
    <row r="200" ht="31" customHeight="1" s="254">
      <c r="A200" s="794" t="inlineStr">
        <is>
          <t>Consistent with the Electrical and Project tabs?</t>
        </is>
      </c>
      <c r="B200" s="822">
        <f>IF($B$5="Greenfield — new service","n/a — greenfield",IF(AND(ISNUMBER(SEARCH("Existing",Electrical!$B$148)),N(Electrical!$B$149)=N($B$52),Electrical!$B$185="Added load to existing service",OR($B$14&lt;&gt;"RETAIN",LEFT(Electrical!$B$155,8)="Existing"),N(Project!$B$28)=N($B$50)),"OK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814" t="inlineStr">
        <is>
          <t>The same facts are entered on three tabs. This row says whether they agree; it does not fix them.</t>
        </is>
      </c>
    </row>
    <row r="201" ht="31" customHeight="1" s="254">
      <c r="A201" s="794" t="inlineStr">
        <is>
          <t>Ready for the engine?</t>
        </is>
      </c>
      <c r="B201" s="822">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814"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88">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E151:G151"/>
    <mergeCell ref="A136:G136"/>
    <mergeCell ref="C165:G165"/>
    <mergeCell ref="C19:D19"/>
    <mergeCell ref="C111:D111"/>
    <mergeCell ref="B200:C200"/>
    <mergeCell ref="C45:D45"/>
    <mergeCell ref="C14:D14"/>
    <mergeCell ref="C196:G196"/>
    <mergeCell ref="C143:G143"/>
    <mergeCell ref="C137:D137"/>
    <mergeCell ref="A49:G49"/>
    <mergeCell ref="A1:G1"/>
    <mergeCell ref="C139:D139"/>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1"/>
  <cols>
    <col width="36" customWidth="1" style="253" min="1" max="1"/>
    <col width="16" customWidth="1" style="253" min="2" max="3"/>
    <col width="24" customWidth="1" style="254" min="3" max="3"/>
    <col width="44" customWidth="1" style="253" min="4" max="5"/>
    <col width="14" customWidth="1" style="254" min="5" max="5"/>
    <col width="14" customWidth="1" style="253" min="6" max="7"/>
    <col width="16" customWidth="1" style="254" min="7" max="7"/>
    <col width="16" customWidth="1" style="253" min="8" max="8"/>
    <col width="12" customWidth="1" style="253" min="9" max="9"/>
    <col width="16" customWidth="1" style="253" min="10" max="10"/>
    <col width="16" customWidth="1" style="253" min="11" max="11"/>
    <col width="24" customWidth="1" style="253" min="12" max="12"/>
    <col width="14" customWidth="1" style="253" min="13" max="14"/>
    <col width="14" customWidth="1" style="254" min="14" max="14"/>
    <col width="14" customWidth="1" style="253" min="15" max="15"/>
    <col width="16" customWidth="1" style="253" min="16" max="16"/>
    <col width="13" customWidth="1" style="254" min="17" max="17"/>
    <col width="13" customWidth="1" style="254" min="18" max="18"/>
    <col width="13" customWidth="1" style="254" min="19" max="19"/>
    <col width="13" customWidth="1" style="254" min="20" max="20"/>
    <col width="13" customWidth="1" style="254" min="21" max="21"/>
    <col width="13" customWidth="1" style="254" min="22" max="22"/>
  </cols>
  <sheetData>
    <row r="1" ht="26" customHeight="1" s="254">
      <c r="A1" s="790" t="inlineStr">
        <is>
          <t>2 · EQUIPMENT SCHEDULE</t>
        </is>
      </c>
      <c r="I1" s="804" t="n"/>
      <c r="J1" s="804" t="n"/>
      <c r="K1" s="804" t="n"/>
      <c r="L1" s="804" t="n"/>
      <c r="M1" s="804" t="n"/>
      <c r="N1" s="804" t="n"/>
      <c r="O1" s="804" t="n"/>
      <c r="P1" s="804" t="n"/>
      <c r="Q1" s="804" t="n"/>
      <c r="R1" s="804" t="n"/>
      <c r="S1" s="804" t="n"/>
      <c r="T1" s="804" t="n"/>
      <c r="U1" s="804" t="n"/>
      <c r="V1" s="804" t="n"/>
    </row>
    <row r="2" ht="16" customHeight="1" s="254">
      <c r="A2" s="792" t="inlineStr">
        <is>
          <t>Pick the CAPACITY first, then the SKU. A distributed system is TWO kinds of line: the power cabinet, and each dispenser it feeds.</t>
        </is>
      </c>
      <c r="I2" s="804" t="n"/>
      <c r="J2" s="804" t="n"/>
      <c r="K2" s="804" t="n"/>
      <c r="L2" s="804" t="n"/>
      <c r="M2" s="804" t="n"/>
      <c r="N2" s="804" t="n"/>
      <c r="O2" s="804" t="n"/>
      <c r="P2" s="804" t="n"/>
      <c r="Q2" s="804" t="n"/>
      <c r="R2" s="804" t="n"/>
      <c r="S2" s="804" t="n"/>
      <c r="T2" s="804" t="n"/>
      <c r="U2" s="804" t="n"/>
      <c r="V2" s="804" t="n"/>
    </row>
    <row r="3" ht="16" customHeight="1" s="254">
      <c r="A3" s="811" t="n"/>
      <c r="B3" s="804" t="n"/>
      <c r="C3" s="804" t="n"/>
      <c r="D3" s="804" t="n"/>
      <c r="E3" s="804" t="n"/>
      <c r="F3" s="804" t="n"/>
      <c r="G3" s="804" t="n"/>
      <c r="H3" s="804" t="n"/>
      <c r="I3" s="804" t="n"/>
      <c r="J3" s="804" t="n"/>
      <c r="K3" s="804" t="n"/>
      <c r="L3" s="804" t="n"/>
      <c r="M3" s="804" t="n"/>
      <c r="N3" s="804" t="n"/>
      <c r="O3" s="804" t="n"/>
      <c r="P3" s="804" t="n"/>
      <c r="Q3" s="804" t="n"/>
      <c r="R3" s="804" t="n"/>
      <c r="S3" s="804" t="n"/>
      <c r="T3" s="804" t="n"/>
      <c r="U3" s="804" t="n"/>
      <c r="V3" s="804" t="n"/>
    </row>
    <row r="4" ht="68.5" customHeight="1" s="254">
      <c r="A4" s="792" t="inlineStr">
        <is>
          <t>Enter one row per SKU. Qty is the number of CABINETS, not ports. Columns Q-V are auto: they number the units and dispensers so the Electrical tab can list every run for you.</t>
        </is>
      </c>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row>
    <row r="5" ht="16" customHeight="1" s="254">
      <c r="A5" s="811" t="n"/>
      <c r="B5" s="804" t="n"/>
      <c r="C5" s="804" t="n"/>
      <c r="D5" s="804" t="n"/>
      <c r="E5" s="804" t="n"/>
      <c r="F5" s="804" t="n"/>
      <c r="G5" s="804" t="n"/>
      <c r="H5" s="804" t="n"/>
      <c r="I5" s="804" t="n"/>
      <c r="J5" s="804" t="n"/>
      <c r="K5" s="804" t="n"/>
      <c r="L5" s="804" t="n"/>
      <c r="M5" s="804" t="n"/>
      <c r="N5" s="804" t="n"/>
      <c r="O5" s="804" t="n"/>
      <c r="P5" s="804" t="n"/>
      <c r="Q5" s="804" t="n"/>
      <c r="R5" s="804" t="n"/>
      <c r="S5" s="804" t="n"/>
      <c r="T5" s="804" t="n"/>
      <c r="U5" s="804" t="n"/>
      <c r="V5" s="804" t="n"/>
    </row>
    <row r="6" ht="43.5" customHeight="1" s="254">
      <c r="A6" s="824" t="inlineStr">
        <is>
          <t>Line</t>
        </is>
      </c>
      <c r="B6" s="824" t="inlineStr">
        <is>
          <t>Capacity</t>
        </is>
      </c>
      <c r="C6" s="824" t="inlineStr">
        <is>
          <t>SKU</t>
        </is>
      </c>
      <c r="D6" s="824" t="inlineStr">
        <is>
          <t>Description (auto)</t>
        </is>
      </c>
      <c r="E6" s="824" t="inlineStr">
        <is>
          <t>Role (auto)</t>
        </is>
      </c>
      <c r="F6" s="824" t="inlineStr">
        <is>
          <t>DC output kW (auto)</t>
        </is>
      </c>
      <c r="G6" s="824" t="inlineStr">
        <is>
          <t>AC input kW (auto, at the Level 2 supply voltage)</t>
        </is>
      </c>
      <c r="H6" s="824" t="inlineStr">
        <is>
          <t>Connectors (auto)</t>
        </is>
      </c>
      <c r="I6" s="824" t="inlineStr">
        <is>
          <t>Qty (units)</t>
        </is>
      </c>
      <c r="J6" s="824" t="inlineStr">
        <is>
          <t>Discount — set on the Commercial tab</t>
        </is>
      </c>
      <c r="K6" s="824" t="inlineStr">
        <is>
          <t>MSRP each (auto)</t>
        </is>
      </c>
      <c r="L6" s="824" t="inlineStr">
        <is>
          <t>Dispenser SKU (distributed only)</t>
        </is>
      </c>
      <c r="M6" s="824" t="inlineStr">
        <is>
          <t>Max dispensers (auto)</t>
        </is>
      </c>
      <c r="N6" s="824" t="inlineStr">
        <is>
          <t>Dispensers per cabinet</t>
        </is>
      </c>
      <c r="O6" s="824" t="inlineStr">
        <is>
          <t>Connectors per dispenser (1 or 2)</t>
        </is>
      </c>
      <c r="P6" s="824" t="inlineStr">
        <is>
          <t>Dispenser MSRP each (auto)</t>
        </is>
      </c>
      <c r="Q6" s="824" t="inlineStr">
        <is>
          <t>Feeder or branch units (auto)</t>
        </is>
      </c>
      <c r="R6" s="824" t="inlineStr">
        <is>
          <t>First unit # (auto)</t>
        </is>
      </c>
      <c r="S6" s="824" t="inlineStr">
        <is>
          <t>Units through this line (auto)</t>
        </is>
      </c>
      <c r="T6" s="824" t="inlineStr">
        <is>
          <t>Dispensers on this line (auto)</t>
        </is>
      </c>
      <c r="U6" s="824" t="inlineStr">
        <is>
          <t>First dispenser # (auto)</t>
        </is>
      </c>
      <c r="V6" s="824" t="inlineStr">
        <is>
          <t>Dispensers through this line (auto)</t>
        </is>
      </c>
    </row>
    <row r="7" ht="16" customHeight="1" s="254">
      <c r="A7" s="825" t="n">
        <v>1</v>
      </c>
      <c r="B7" s="807" t="inlineStr">
        <is>
          <t>360 kW DC</t>
        </is>
      </c>
      <c r="C7" s="807" t="inlineStr">
        <is>
          <t>TP5-360-480-2-300</t>
        </is>
      </c>
      <c r="D7" s="844">
        <f>IFERROR(INDEX(PriceBook!$C$2:$C$203,MATCH($C7,PriceBook!$B$2:$B$203,0)),"")</f>
        <v/>
      </c>
      <c r="E7" s="844">
        <f>IF($C7="","",IFERROR(INDEX(ROLE_VAL,MATCH($C7,ROLE_SKU,0)),"all_in_one"))</f>
        <v/>
      </c>
      <c r="F7" s="845">
        <f>IF($C7="",0,IFERROR(INDEX(SPEC_DCKW,MATCH($C7,SPEC_SKU,0)),IF($E7="dispenser",0,IF($E7="accessory",0,IFERROR(IF(N(INDEX(PriceBook!$E$2:$E$203,MATCH($C7,PriceBook!$B$2:$B$203,0)))&gt;0,INDEX(PriceBook!$E$2:$E$203,MATCH($C7,PriceBook!$B$2:$B$203,0)),INDEX(RATED_KW,MATCH($B7,CAPACITY_LIST,0))*IF(INDEX(PER_PORT,MATCH($B7,CAPACITY_LIST,0))=1,MAX(1,N($H7)),1)),0)))))</f>
        <v/>
      </c>
      <c r="G7" s="846">
        <f>IF($C7="",0,IFERROR(INDEX(SPEC_ACKW,MATCH($C7,SPEC_SKU,0)),$F7)*IF(AND($E7="level_2",N($B$30)&gt;0,$B$30&lt;240),$B$30/240,1))</f>
        <v/>
      </c>
      <c r="H7" s="845">
        <f>IF($C7="",0,IF($E7="power_cabinet",N($N7)*N($O7),IFERROR(INDEX(SPEC_OUTS,MATCH($C7,SPEC_SKU,0)),IFERROR(INDEX(SKU_CONN,MATCH($C7,SKU_ALL,0)),0))))</f>
        <v/>
      </c>
      <c r="I7" s="831" t="n">
        <v>4</v>
      </c>
      <c r="J7" s="847" t="n"/>
      <c r="K7" s="848">
        <f>IFERROR(INDEX(PriceBook!$D$2:$D$203,MATCH($C7,PriceBook!$B$2:$B$203,0)),0)</f>
        <v/>
      </c>
      <c r="L7" s="807" t="n"/>
      <c r="M7" s="845">
        <f>IF($E7&lt;&gt;"power_cabinet",0,IFERROR(INDEX(SPEC_MAXDISP,MATCH($C7,SPEC_SKU,0)),0))</f>
        <v/>
      </c>
      <c r="N7" s="831" t="n"/>
      <c r="O7" s="831" t="n"/>
      <c r="P7" s="848">
        <f>IF($L7="",0,IFERROR(INDEX(PriceBook!$D$2:$D$203,MATCH($L7,PriceBook!$B$2:$B$203,0)),0))</f>
        <v/>
      </c>
      <c r="Q7" s="849">
        <f>IF(OR($E7="all_in_one",$E7="power_cabinet",$E7="level_2"),N($I7),0)</f>
        <v/>
      </c>
      <c r="R7" s="849">
        <f>IF(N($Q7)=0,"",SUM($Q$7:$Q7)-N($Q7)+1)</f>
        <v/>
      </c>
      <c r="S7" s="849">
        <f>SUM($Q$7:$Q7)</f>
        <v/>
      </c>
      <c r="T7" s="849">
        <f>IF($E7="power_cabinet",N($I7)*N($N7),0)</f>
        <v/>
      </c>
      <c r="U7" s="849">
        <f>IF(N($T7)=0,"",SUM($T$7:$T7)-N($T7)+1)</f>
        <v/>
      </c>
      <c r="V7" s="849">
        <f>SUM($T$7:$T7)</f>
        <v/>
      </c>
    </row>
    <row r="8" ht="16" customHeight="1" s="254">
      <c r="A8" s="825" t="n">
        <v>2</v>
      </c>
      <c r="B8" s="807" t="inlineStr">
        <is>
          <t>Level 2 AC</t>
        </is>
      </c>
      <c r="C8" s="807" t="inlineStr">
        <is>
          <t>CTX-C40-240-2</t>
        </is>
      </c>
      <c r="D8" s="844">
        <f>IFERROR(INDEX(PriceBook!$C$2:$C$203,MATCH($C8,PriceBook!$B$2:$B$203,0)),"")</f>
        <v/>
      </c>
      <c r="E8" s="844">
        <f>IF($C8="","",IFERROR(INDEX(ROLE_VAL,MATCH($C8,ROLE_SKU,0)),"all_in_one"))</f>
        <v/>
      </c>
      <c r="F8" s="845">
        <f>IF($C8="",0,IFERROR(INDEX(SPEC_DCKW,MATCH($C8,SPEC_SKU,0)),IF($E8="dispenser",0,IF($E8="accessory",0,IFERROR(IF(N(INDEX(PriceBook!$E$2:$E$203,MATCH($C8,PriceBook!$B$2:$B$203,0)))&gt;0,INDEX(PriceBook!$E$2:$E$203,MATCH($C8,PriceBook!$B$2:$B$203,0)),INDEX(RATED_KW,MATCH($B8,CAPACITY_LIST,0))*IF(INDEX(PER_PORT,MATCH($B8,CAPACITY_LIST,0))=1,MAX(1,N($H8)),1)),0)))))</f>
        <v/>
      </c>
      <c r="G8" s="846">
        <f>IF($C8="",0,IFERROR(INDEX(SPEC_ACKW,MATCH($C8,SPEC_SKU,0)),$F8)*IF(AND($E8="level_2",N($B$30)&gt;0,$B$30&lt;240),$B$30/240,1))</f>
        <v/>
      </c>
      <c r="H8" s="845">
        <f>IF($C8="",0,IF($E8="power_cabinet",N($N8)*N($O8),IFERROR(INDEX(SPEC_OUTS,MATCH($C8,SPEC_SKU,0)),IFERROR(INDEX(SKU_CONN,MATCH($C8,SKU_ALL,0)),0))))</f>
        <v/>
      </c>
      <c r="I8" s="831" t="n">
        <v>2</v>
      </c>
      <c r="J8" s="847" t="n"/>
      <c r="K8" s="848">
        <f>IFERROR(INDEX(PriceBook!$D$2:$D$203,MATCH($C8,PriceBook!$B$2:$B$203,0)),0)</f>
        <v/>
      </c>
      <c r="L8" s="807" t="n"/>
      <c r="M8" s="845">
        <f>IF($E8&lt;&gt;"power_cabinet",0,IFERROR(INDEX(SPEC_MAXDISP,MATCH($C8,SPEC_SKU,0)),0))</f>
        <v/>
      </c>
      <c r="N8" s="831" t="n"/>
      <c r="O8" s="831" t="n"/>
      <c r="P8" s="848">
        <f>IF($L8="",0,IFERROR(INDEX(PriceBook!$D$2:$D$203,MATCH($L8,PriceBook!$B$2:$B$203,0)),0))</f>
        <v/>
      </c>
      <c r="Q8" s="849">
        <f>IF(OR($E8="all_in_one",$E8="power_cabinet",$E8="level_2"),N($I8),0)</f>
        <v/>
      </c>
      <c r="R8" s="849">
        <f>IF(N($Q8)=0,"",SUM($Q$7:$Q8)-N($Q8)+1)</f>
        <v/>
      </c>
      <c r="S8" s="849">
        <f>SUM($Q$7:$Q8)</f>
        <v/>
      </c>
      <c r="T8" s="849">
        <f>IF($E8="power_cabinet",N($I8)*N($N8),0)</f>
        <v/>
      </c>
      <c r="U8" s="849">
        <f>IF(N($T8)=0,"",SUM($T$7:$T8)-N($T8)+1)</f>
        <v/>
      </c>
      <c r="V8" s="849">
        <f>SUM($T$7:$T8)</f>
        <v/>
      </c>
    </row>
    <row r="9" ht="16" customHeight="1" s="254">
      <c r="A9" s="825" t="n">
        <v>3</v>
      </c>
      <c r="B9" s="807" t="n"/>
      <c r="C9" s="807" t="n"/>
      <c r="D9" s="844">
        <f>IFERROR(INDEX(PriceBook!$C$2:$C$203,MATCH($C9,PriceBook!$B$2:$B$203,0)),"")</f>
        <v/>
      </c>
      <c r="E9" s="844">
        <f>IF($C9="","",IFERROR(INDEX(ROLE_VAL,MATCH($C9,ROLE_SKU,0)),"all_in_one"))</f>
        <v/>
      </c>
      <c r="F9" s="845">
        <f>IF($C9="",0,IFERROR(INDEX(SPEC_DCKW,MATCH($C9,SPEC_SKU,0)),IF($E9="dispenser",0,IF($E9="accessory",0,IFERROR(IF(N(INDEX(PriceBook!$E$2:$E$203,MATCH($C9,PriceBook!$B$2:$B$203,0)))&gt;0,INDEX(PriceBook!$E$2:$E$203,MATCH($C9,PriceBook!$B$2:$B$203,0)),INDEX(RATED_KW,MATCH($B9,CAPACITY_LIST,0))*IF(INDEX(PER_PORT,MATCH($B9,CAPACITY_LIST,0))=1,MAX(1,N($H9)),1)),0)))))</f>
        <v/>
      </c>
      <c r="G9" s="846">
        <f>IF($C9="",0,IFERROR(INDEX(SPEC_ACKW,MATCH($C9,SPEC_SKU,0)),$F9)*IF(AND($E9="level_2",N($B$30)&gt;0,$B$30&lt;240),$B$30/240,1))</f>
        <v/>
      </c>
      <c r="H9" s="845">
        <f>IF($C9="",0,IF($E9="power_cabinet",N($N9)*N($O9),IFERROR(INDEX(SPEC_OUTS,MATCH($C9,SPEC_SKU,0)),IFERROR(INDEX(SKU_CONN,MATCH($C9,SKU_ALL,0)),0))))</f>
        <v/>
      </c>
      <c r="I9" s="831" t="n"/>
      <c r="J9" s="847" t="n"/>
      <c r="K9" s="848">
        <f>IFERROR(INDEX(PriceBook!$D$2:$D$203,MATCH($C9,PriceBook!$B$2:$B$203,0)),0)</f>
        <v/>
      </c>
      <c r="L9" s="807" t="n"/>
      <c r="M9" s="845">
        <f>IF($E9&lt;&gt;"power_cabinet",0,IFERROR(INDEX(SPEC_MAXDISP,MATCH($C9,SPEC_SKU,0)),0))</f>
        <v/>
      </c>
      <c r="N9" s="831" t="n"/>
      <c r="O9" s="831" t="n"/>
      <c r="P9" s="848">
        <f>IF($L9="",0,IFERROR(INDEX(PriceBook!$D$2:$D$203,MATCH($L9,PriceBook!$B$2:$B$203,0)),0))</f>
        <v/>
      </c>
      <c r="Q9" s="849">
        <f>IF(OR($E9="all_in_one",$E9="power_cabinet",$E9="level_2"),N($I9),0)</f>
        <v/>
      </c>
      <c r="R9" s="849">
        <f>IF(N($Q9)=0,"",SUM($Q$7:$Q9)-N($Q9)+1)</f>
        <v/>
      </c>
      <c r="S9" s="849">
        <f>SUM($Q$7:$Q9)</f>
        <v/>
      </c>
      <c r="T9" s="849">
        <f>IF($E9="power_cabinet",N($I9)*N($N9),0)</f>
        <v/>
      </c>
      <c r="U9" s="849">
        <f>IF(N($T9)=0,"",SUM($T$7:$T9)-N($T9)+1)</f>
        <v/>
      </c>
      <c r="V9" s="849">
        <f>SUM($T$7:$T9)</f>
        <v/>
      </c>
    </row>
    <row r="10" ht="16" customHeight="1" s="254">
      <c r="A10" s="825" t="n">
        <v>4</v>
      </c>
      <c r="B10" s="807" t="n"/>
      <c r="C10" s="807" t="n"/>
      <c r="D10" s="844">
        <f>IFERROR(INDEX(PriceBook!$C$2:$C$203,MATCH($C10,PriceBook!$B$2:$B$203,0)),"")</f>
        <v/>
      </c>
      <c r="E10" s="844">
        <f>IF($C10="","",IFERROR(INDEX(ROLE_VAL,MATCH($C10,ROLE_SKU,0)),"all_in_one"))</f>
        <v/>
      </c>
      <c r="F10" s="845">
        <f>IF($C10="",0,IFERROR(INDEX(SPEC_DCKW,MATCH($C10,SPEC_SKU,0)),IF($E10="dispenser",0,IF($E10="accessory",0,IFERROR(IF(N(INDEX(PriceBook!$E$2:$E$203,MATCH($C10,PriceBook!$B$2:$B$203,0)))&gt;0,INDEX(PriceBook!$E$2:$E$203,MATCH($C10,PriceBook!$B$2:$B$203,0)),INDEX(RATED_KW,MATCH($B10,CAPACITY_LIST,0))*IF(INDEX(PER_PORT,MATCH($B10,CAPACITY_LIST,0))=1,MAX(1,N($H10)),1)),0)))))</f>
        <v/>
      </c>
      <c r="G10" s="846">
        <f>IF($C10="",0,IFERROR(INDEX(SPEC_ACKW,MATCH($C10,SPEC_SKU,0)),$F10)*IF(AND($E10="level_2",N($B$30)&gt;0,$B$30&lt;240),$B$30/240,1))</f>
        <v/>
      </c>
      <c r="H10" s="845">
        <f>IF($C10="",0,IF($E10="power_cabinet",N($N10)*N($O10),IFERROR(INDEX(SPEC_OUTS,MATCH($C10,SPEC_SKU,0)),IFERROR(INDEX(SKU_CONN,MATCH($C10,SKU_ALL,0)),0))))</f>
        <v/>
      </c>
      <c r="I10" s="831" t="n"/>
      <c r="J10" s="847" t="n"/>
      <c r="K10" s="848">
        <f>IFERROR(INDEX(PriceBook!$D$2:$D$203,MATCH($C10,PriceBook!$B$2:$B$203,0)),0)</f>
        <v/>
      </c>
      <c r="L10" s="807" t="n"/>
      <c r="M10" s="845">
        <f>IF($E10&lt;&gt;"power_cabinet",0,IFERROR(INDEX(SPEC_MAXDISP,MATCH($C10,SPEC_SKU,0)),0))</f>
        <v/>
      </c>
      <c r="N10" s="831" t="n"/>
      <c r="O10" s="831" t="n"/>
      <c r="P10" s="848">
        <f>IF($L10="",0,IFERROR(INDEX(PriceBook!$D$2:$D$203,MATCH($L10,PriceBook!$B$2:$B$203,0)),0))</f>
        <v/>
      </c>
      <c r="Q10" s="849">
        <f>IF(OR($E10="all_in_one",$E10="power_cabinet",$E10="level_2"),N($I10),0)</f>
        <v/>
      </c>
      <c r="R10" s="849">
        <f>IF(N($Q10)=0,"",SUM($Q$7:$Q10)-N($Q10)+1)</f>
        <v/>
      </c>
      <c r="S10" s="849">
        <f>SUM($Q$7:$Q10)</f>
        <v/>
      </c>
      <c r="T10" s="849">
        <f>IF($E10="power_cabinet",N($I10)*N($N10),0)</f>
        <v/>
      </c>
      <c r="U10" s="849">
        <f>IF(N($T10)=0,"",SUM($T$7:$T10)-N($T10)+1)</f>
        <v/>
      </c>
      <c r="V10" s="849">
        <f>SUM($T$7:$T10)</f>
        <v/>
      </c>
    </row>
    <row r="11" ht="16" customHeight="1" s="254">
      <c r="A11" s="825" t="n">
        <v>5</v>
      </c>
      <c r="B11" s="807" t="n"/>
      <c r="C11" s="807" t="n"/>
      <c r="D11" s="844">
        <f>IFERROR(INDEX(PriceBook!$C$2:$C$203,MATCH($C11,PriceBook!$B$2:$B$203,0)),"")</f>
        <v/>
      </c>
      <c r="E11" s="844">
        <f>IF($C11="","",IFERROR(INDEX(ROLE_VAL,MATCH($C11,ROLE_SKU,0)),"all_in_one"))</f>
        <v/>
      </c>
      <c r="F11" s="845">
        <f>IF($C11="",0,IFERROR(INDEX(SPEC_DCKW,MATCH($C11,SPEC_SKU,0)),IF($E11="dispenser",0,IF($E11="accessory",0,IFERROR(IF(N(INDEX(PriceBook!$E$2:$E$203,MATCH($C11,PriceBook!$B$2:$B$203,0)))&gt;0,INDEX(PriceBook!$E$2:$E$203,MATCH($C11,PriceBook!$B$2:$B$203,0)),INDEX(RATED_KW,MATCH($B11,CAPACITY_LIST,0))*IF(INDEX(PER_PORT,MATCH($B11,CAPACITY_LIST,0))=1,MAX(1,N($H11)),1)),0)))))</f>
        <v/>
      </c>
      <c r="G11" s="846">
        <f>IF($C11="",0,IFERROR(INDEX(SPEC_ACKW,MATCH($C11,SPEC_SKU,0)),$F11)*IF(AND($E11="level_2",N($B$30)&gt;0,$B$30&lt;240),$B$30/240,1))</f>
        <v/>
      </c>
      <c r="H11" s="845">
        <f>IF($C11="",0,IF($E11="power_cabinet",N($N11)*N($O11),IFERROR(INDEX(SPEC_OUTS,MATCH($C11,SPEC_SKU,0)),IFERROR(INDEX(SKU_CONN,MATCH($C11,SKU_ALL,0)),0))))</f>
        <v/>
      </c>
      <c r="I11" s="831" t="n"/>
      <c r="J11" s="847" t="n"/>
      <c r="K11" s="848">
        <f>IFERROR(INDEX(PriceBook!$D$2:$D$203,MATCH($C11,PriceBook!$B$2:$B$203,0)),0)</f>
        <v/>
      </c>
      <c r="L11" s="807" t="n"/>
      <c r="M11" s="845">
        <f>IF($E11&lt;&gt;"power_cabinet",0,IFERROR(INDEX(SPEC_MAXDISP,MATCH($C11,SPEC_SKU,0)),0))</f>
        <v/>
      </c>
      <c r="N11" s="831" t="n"/>
      <c r="O11" s="831" t="n"/>
      <c r="P11" s="848">
        <f>IF($L11="",0,IFERROR(INDEX(PriceBook!$D$2:$D$203,MATCH($L11,PriceBook!$B$2:$B$203,0)),0))</f>
        <v/>
      </c>
      <c r="Q11" s="849">
        <f>IF(OR($E11="all_in_one",$E11="power_cabinet",$E11="level_2"),N($I11),0)</f>
        <v/>
      </c>
      <c r="R11" s="849">
        <f>IF(N($Q11)=0,"",SUM($Q$7:$Q11)-N($Q11)+1)</f>
        <v/>
      </c>
      <c r="S11" s="849">
        <f>SUM($Q$7:$Q11)</f>
        <v/>
      </c>
      <c r="T11" s="849">
        <f>IF($E11="power_cabinet",N($I11)*N($N11),0)</f>
        <v/>
      </c>
      <c r="U11" s="849">
        <f>IF(N($T11)=0,"",SUM($T$7:$T11)-N($T11)+1)</f>
        <v/>
      </c>
      <c r="V11" s="849">
        <f>SUM($T$7:$T11)</f>
        <v/>
      </c>
    </row>
    <row r="12" ht="16" customHeight="1" s="254">
      <c r="A12" s="825" t="n">
        <v>6</v>
      </c>
      <c r="B12" s="807" t="n"/>
      <c r="C12" s="807" t="n"/>
      <c r="D12" s="844">
        <f>IFERROR(INDEX(PriceBook!$C$2:$C$203,MATCH($C12,PriceBook!$B$2:$B$203,0)),"")</f>
        <v/>
      </c>
      <c r="E12" s="844">
        <f>IF($C12="","",IFERROR(INDEX(ROLE_VAL,MATCH($C12,ROLE_SKU,0)),"all_in_one"))</f>
        <v/>
      </c>
      <c r="F12" s="845">
        <f>IF($C12="",0,IFERROR(INDEX(SPEC_DCKW,MATCH($C12,SPEC_SKU,0)),IF($E12="dispenser",0,IF($E12="accessory",0,IFERROR(IF(N(INDEX(PriceBook!$E$2:$E$203,MATCH($C12,PriceBook!$B$2:$B$203,0)))&gt;0,INDEX(PriceBook!$E$2:$E$203,MATCH($C12,PriceBook!$B$2:$B$203,0)),INDEX(RATED_KW,MATCH($B12,CAPACITY_LIST,0))*IF(INDEX(PER_PORT,MATCH($B12,CAPACITY_LIST,0))=1,MAX(1,N($H12)),1)),0)))))</f>
        <v/>
      </c>
      <c r="G12" s="846">
        <f>IF($C12="",0,IFERROR(INDEX(SPEC_ACKW,MATCH($C12,SPEC_SKU,0)),$F12)*IF(AND($E12="level_2",N($B$30)&gt;0,$B$30&lt;240),$B$30/240,1))</f>
        <v/>
      </c>
      <c r="H12" s="845">
        <f>IF($C12="",0,IF($E12="power_cabinet",N($N12)*N($O12),IFERROR(INDEX(SPEC_OUTS,MATCH($C12,SPEC_SKU,0)),IFERROR(INDEX(SKU_CONN,MATCH($C12,SKU_ALL,0)),0))))</f>
        <v/>
      </c>
      <c r="I12" s="831" t="n"/>
      <c r="J12" s="847" t="n"/>
      <c r="K12" s="848">
        <f>IFERROR(INDEX(PriceBook!$D$2:$D$203,MATCH($C12,PriceBook!$B$2:$B$203,0)),0)</f>
        <v/>
      </c>
      <c r="L12" s="807" t="n"/>
      <c r="M12" s="845">
        <f>IF($E12&lt;&gt;"power_cabinet",0,IFERROR(INDEX(SPEC_MAXDISP,MATCH($C12,SPEC_SKU,0)),0))</f>
        <v/>
      </c>
      <c r="N12" s="831" t="n"/>
      <c r="O12" s="831" t="n"/>
      <c r="P12" s="848">
        <f>IF($L12="",0,IFERROR(INDEX(PriceBook!$D$2:$D$203,MATCH($L12,PriceBook!$B$2:$B$203,0)),0))</f>
        <v/>
      </c>
      <c r="Q12" s="849">
        <f>IF(OR($E12="all_in_one",$E12="power_cabinet",$E12="level_2"),N($I12),0)</f>
        <v/>
      </c>
      <c r="R12" s="849">
        <f>IF(N($Q12)=0,"",SUM($Q$7:$Q12)-N($Q12)+1)</f>
        <v/>
      </c>
      <c r="S12" s="849">
        <f>SUM($Q$7:$Q12)</f>
        <v/>
      </c>
      <c r="T12" s="849">
        <f>IF($E12="power_cabinet",N($I12)*N($N12),0)</f>
        <v/>
      </c>
      <c r="U12" s="849">
        <f>IF(N($T12)=0,"",SUM($T$7:$T12)-N($T12)+1)</f>
        <v/>
      </c>
      <c r="V12" s="849">
        <f>SUM($T$7:$T12)</f>
        <v/>
      </c>
    </row>
    <row r="13" ht="16" customHeight="1" s="254">
      <c r="A13" s="825" t="n">
        <v>7</v>
      </c>
      <c r="B13" s="807" t="n"/>
      <c r="C13" s="807" t="n"/>
      <c r="D13" s="844">
        <f>IFERROR(INDEX(PriceBook!$C$2:$C$203,MATCH($C13,PriceBook!$B$2:$B$203,0)),"")</f>
        <v/>
      </c>
      <c r="E13" s="844">
        <f>IF($C13="","",IFERROR(INDEX(ROLE_VAL,MATCH($C13,ROLE_SKU,0)),"all_in_one"))</f>
        <v/>
      </c>
      <c r="F13" s="845">
        <f>IF($C13="",0,IFERROR(INDEX(SPEC_DCKW,MATCH($C13,SPEC_SKU,0)),IF($E13="dispenser",0,IF($E13="accessory",0,IFERROR(IF(N(INDEX(PriceBook!$E$2:$E$203,MATCH($C13,PriceBook!$B$2:$B$203,0)))&gt;0,INDEX(PriceBook!$E$2:$E$203,MATCH($C13,PriceBook!$B$2:$B$203,0)),INDEX(RATED_KW,MATCH($B13,CAPACITY_LIST,0))*IF(INDEX(PER_PORT,MATCH($B13,CAPACITY_LIST,0))=1,MAX(1,N($H13)),1)),0)))))</f>
        <v/>
      </c>
      <c r="G13" s="846">
        <f>IF($C13="",0,IFERROR(INDEX(SPEC_ACKW,MATCH($C13,SPEC_SKU,0)),$F13)*IF(AND($E13="level_2",N($B$30)&gt;0,$B$30&lt;240),$B$30/240,1))</f>
        <v/>
      </c>
      <c r="H13" s="845">
        <f>IF($C13="",0,IF($E13="power_cabinet",N($N13)*N($O13),IFERROR(INDEX(SPEC_OUTS,MATCH($C13,SPEC_SKU,0)),IFERROR(INDEX(SKU_CONN,MATCH($C13,SKU_ALL,0)),0))))</f>
        <v/>
      </c>
      <c r="I13" s="831" t="n"/>
      <c r="J13" s="847" t="n"/>
      <c r="K13" s="848">
        <f>IFERROR(INDEX(PriceBook!$D$2:$D$203,MATCH($C13,PriceBook!$B$2:$B$203,0)),0)</f>
        <v/>
      </c>
      <c r="L13" s="807" t="n"/>
      <c r="M13" s="845">
        <f>IF($E13&lt;&gt;"power_cabinet",0,IFERROR(INDEX(SPEC_MAXDISP,MATCH($C13,SPEC_SKU,0)),0))</f>
        <v/>
      </c>
      <c r="N13" s="831" t="n"/>
      <c r="O13" s="831" t="n"/>
      <c r="P13" s="848">
        <f>IF($L13="",0,IFERROR(INDEX(PriceBook!$D$2:$D$203,MATCH($L13,PriceBook!$B$2:$B$203,0)),0))</f>
        <v/>
      </c>
      <c r="Q13" s="849">
        <f>IF(OR($E13="all_in_one",$E13="power_cabinet",$E13="level_2"),N($I13),0)</f>
        <v/>
      </c>
      <c r="R13" s="849">
        <f>IF(N($Q13)=0,"",SUM($Q$7:$Q13)-N($Q13)+1)</f>
        <v/>
      </c>
      <c r="S13" s="849">
        <f>SUM($Q$7:$Q13)</f>
        <v/>
      </c>
      <c r="T13" s="849">
        <f>IF($E13="power_cabinet",N($I13)*N($N13),0)</f>
        <v/>
      </c>
      <c r="U13" s="849">
        <f>IF(N($T13)=0,"",SUM($T$7:$T13)-N($T13)+1)</f>
        <v/>
      </c>
      <c r="V13" s="849">
        <f>SUM($T$7:$T13)</f>
        <v/>
      </c>
    </row>
    <row r="14" ht="16" customHeight="1" s="254">
      <c r="A14" s="825" t="n">
        <v>8</v>
      </c>
      <c r="B14" s="807" t="n"/>
      <c r="C14" s="807" t="n"/>
      <c r="D14" s="844">
        <f>IFERROR(INDEX(PriceBook!$C$2:$C$203,MATCH($C14,PriceBook!$B$2:$B$203,0)),"")</f>
        <v/>
      </c>
      <c r="E14" s="844">
        <f>IF($C14="","",IFERROR(INDEX(ROLE_VAL,MATCH($C14,ROLE_SKU,0)),"all_in_one"))</f>
        <v/>
      </c>
      <c r="F14" s="845">
        <f>IF($C14="",0,IFERROR(INDEX(SPEC_DCKW,MATCH($C14,SPEC_SKU,0)),IF($E14="dispenser",0,IF($E14="accessory",0,IFERROR(IF(N(INDEX(PriceBook!$E$2:$E$203,MATCH($C14,PriceBook!$B$2:$B$203,0)))&gt;0,INDEX(PriceBook!$E$2:$E$203,MATCH($C14,PriceBook!$B$2:$B$203,0)),INDEX(RATED_KW,MATCH($B14,CAPACITY_LIST,0))*IF(INDEX(PER_PORT,MATCH($B14,CAPACITY_LIST,0))=1,MAX(1,N($H14)),1)),0)))))</f>
        <v/>
      </c>
      <c r="G14" s="846">
        <f>IF($C14="",0,IFERROR(INDEX(SPEC_ACKW,MATCH($C14,SPEC_SKU,0)),$F14)*IF(AND($E14="level_2",N($B$30)&gt;0,$B$30&lt;240),$B$30/240,1))</f>
        <v/>
      </c>
      <c r="H14" s="845">
        <f>IF($C14="",0,IF($E14="power_cabinet",N($N14)*N($O14),IFERROR(INDEX(SPEC_OUTS,MATCH($C14,SPEC_SKU,0)),IFERROR(INDEX(SKU_CONN,MATCH($C14,SKU_ALL,0)),0))))</f>
        <v/>
      </c>
      <c r="I14" s="831" t="n"/>
      <c r="J14" s="847" t="n"/>
      <c r="K14" s="848">
        <f>IFERROR(INDEX(PriceBook!$D$2:$D$203,MATCH($C14,PriceBook!$B$2:$B$203,0)),0)</f>
        <v/>
      </c>
      <c r="L14" s="807" t="n"/>
      <c r="M14" s="845">
        <f>IF($E14&lt;&gt;"power_cabinet",0,IFERROR(INDEX(SPEC_MAXDISP,MATCH($C14,SPEC_SKU,0)),0))</f>
        <v/>
      </c>
      <c r="N14" s="831" t="n"/>
      <c r="O14" s="831" t="n"/>
      <c r="P14" s="848">
        <f>IF($L14="",0,IFERROR(INDEX(PriceBook!$D$2:$D$203,MATCH($L14,PriceBook!$B$2:$B$203,0)),0))</f>
        <v/>
      </c>
      <c r="Q14" s="849">
        <f>IF(OR($E14="all_in_one",$E14="power_cabinet",$E14="level_2"),N($I14),0)</f>
        <v/>
      </c>
      <c r="R14" s="849">
        <f>IF(N($Q14)=0,"",SUM($Q$7:$Q14)-N($Q14)+1)</f>
        <v/>
      </c>
      <c r="S14" s="849">
        <f>SUM($Q$7:$Q14)</f>
        <v/>
      </c>
      <c r="T14" s="849">
        <f>IF($E14="power_cabinet",N($I14)*N($N14),0)</f>
        <v/>
      </c>
      <c r="U14" s="849">
        <f>IF(N($T14)=0,"",SUM($T$7:$T14)-N($T14)+1)</f>
        <v/>
      </c>
      <c r="V14" s="849">
        <f>SUM($T$7:$T14)</f>
        <v/>
      </c>
    </row>
    <row r="15" ht="16" customHeight="1" s="254">
      <c r="A15" s="825" t="n">
        <v>9</v>
      </c>
      <c r="B15" s="807" t="n"/>
      <c r="C15" s="807" t="n"/>
      <c r="D15" s="844">
        <f>IFERROR(INDEX(PriceBook!$C$2:$C$203,MATCH($C15,PriceBook!$B$2:$B$203,0)),"")</f>
        <v/>
      </c>
      <c r="E15" s="844">
        <f>IF($C15="","",IFERROR(INDEX(ROLE_VAL,MATCH($C15,ROLE_SKU,0)),"all_in_one"))</f>
        <v/>
      </c>
      <c r="F15" s="845">
        <f>IF($C15="",0,IFERROR(INDEX(SPEC_DCKW,MATCH($C15,SPEC_SKU,0)),IF($E15="dispenser",0,IF($E15="accessory",0,IFERROR(IF(N(INDEX(PriceBook!$E$2:$E$203,MATCH($C15,PriceBook!$B$2:$B$203,0)))&gt;0,INDEX(PriceBook!$E$2:$E$203,MATCH($C15,PriceBook!$B$2:$B$203,0)),INDEX(RATED_KW,MATCH($B15,CAPACITY_LIST,0))*IF(INDEX(PER_PORT,MATCH($B15,CAPACITY_LIST,0))=1,MAX(1,N($H15)),1)),0)))))</f>
        <v/>
      </c>
      <c r="G15" s="846">
        <f>IF($C15="",0,IFERROR(INDEX(SPEC_ACKW,MATCH($C15,SPEC_SKU,0)),$F15)*IF(AND($E15="level_2",N($B$30)&gt;0,$B$30&lt;240),$B$30/240,1))</f>
        <v/>
      </c>
      <c r="H15" s="845">
        <f>IF($C15="",0,IF($E15="power_cabinet",N($N15)*N($O15),IFERROR(INDEX(SPEC_OUTS,MATCH($C15,SPEC_SKU,0)),IFERROR(INDEX(SKU_CONN,MATCH($C15,SKU_ALL,0)),0))))</f>
        <v/>
      </c>
      <c r="I15" s="831" t="n"/>
      <c r="J15" s="847" t="n"/>
      <c r="K15" s="848">
        <f>IFERROR(INDEX(PriceBook!$D$2:$D$203,MATCH($C15,PriceBook!$B$2:$B$203,0)),0)</f>
        <v/>
      </c>
      <c r="L15" s="807" t="n"/>
      <c r="M15" s="845">
        <f>IF($E15&lt;&gt;"power_cabinet",0,IFERROR(INDEX(SPEC_MAXDISP,MATCH($C15,SPEC_SKU,0)),0))</f>
        <v/>
      </c>
      <c r="N15" s="831" t="n"/>
      <c r="O15" s="831" t="n"/>
      <c r="P15" s="848">
        <f>IF($L15="",0,IFERROR(INDEX(PriceBook!$D$2:$D$203,MATCH($L15,PriceBook!$B$2:$B$203,0)),0))</f>
        <v/>
      </c>
      <c r="Q15" s="849">
        <f>IF(OR($E15="all_in_one",$E15="power_cabinet",$E15="level_2"),N($I15),0)</f>
        <v/>
      </c>
      <c r="R15" s="849">
        <f>IF(N($Q15)=0,"",SUM($Q$7:$Q15)-N($Q15)+1)</f>
        <v/>
      </c>
      <c r="S15" s="849">
        <f>SUM($Q$7:$Q15)</f>
        <v/>
      </c>
      <c r="T15" s="849">
        <f>IF($E15="power_cabinet",N($I15)*N($N15),0)</f>
        <v/>
      </c>
      <c r="U15" s="849">
        <f>IF(N($T15)=0,"",SUM($T$7:$T15)-N($T15)+1)</f>
        <v/>
      </c>
      <c r="V15" s="849">
        <f>SUM($T$7:$T15)</f>
        <v/>
      </c>
    </row>
    <row r="16" ht="16" customHeight="1" s="254">
      <c r="A16" s="825" t="n">
        <v>10</v>
      </c>
      <c r="B16" s="807" t="n"/>
      <c r="C16" s="807" t="n"/>
      <c r="D16" s="844">
        <f>IFERROR(INDEX(PriceBook!$C$2:$C$203,MATCH($C16,PriceBook!$B$2:$B$203,0)),"")</f>
        <v/>
      </c>
      <c r="E16" s="844">
        <f>IF($C16="","",IFERROR(INDEX(ROLE_VAL,MATCH($C16,ROLE_SKU,0)),"all_in_one"))</f>
        <v/>
      </c>
      <c r="F16" s="845">
        <f>IF($C16="",0,IFERROR(INDEX(SPEC_DCKW,MATCH($C16,SPEC_SKU,0)),IF($E16="dispenser",0,IF($E16="accessory",0,IFERROR(IF(N(INDEX(PriceBook!$E$2:$E$203,MATCH($C16,PriceBook!$B$2:$B$203,0)))&gt;0,INDEX(PriceBook!$E$2:$E$203,MATCH($C16,PriceBook!$B$2:$B$203,0)),INDEX(RATED_KW,MATCH($B16,CAPACITY_LIST,0))*IF(INDEX(PER_PORT,MATCH($B16,CAPACITY_LIST,0))=1,MAX(1,N($H16)),1)),0)))))</f>
        <v/>
      </c>
      <c r="G16" s="846">
        <f>IF($C16="",0,IFERROR(INDEX(SPEC_ACKW,MATCH($C16,SPEC_SKU,0)),$F16)*IF(AND($E16="level_2",N($B$30)&gt;0,$B$30&lt;240),$B$30/240,1))</f>
        <v/>
      </c>
      <c r="H16" s="845">
        <f>IF($C16="",0,IF($E16="power_cabinet",N($N16)*N($O16),IFERROR(INDEX(SPEC_OUTS,MATCH($C16,SPEC_SKU,0)),IFERROR(INDEX(SKU_CONN,MATCH($C16,SKU_ALL,0)),0))))</f>
        <v/>
      </c>
      <c r="I16" s="831" t="n"/>
      <c r="J16" s="847" t="n"/>
      <c r="K16" s="848">
        <f>IFERROR(INDEX(PriceBook!$D$2:$D$203,MATCH($C16,PriceBook!$B$2:$B$203,0)),0)</f>
        <v/>
      </c>
      <c r="L16" s="807" t="n"/>
      <c r="M16" s="845">
        <f>IF($E16&lt;&gt;"power_cabinet",0,IFERROR(INDEX(SPEC_MAXDISP,MATCH($C16,SPEC_SKU,0)),0))</f>
        <v/>
      </c>
      <c r="N16" s="831" t="n"/>
      <c r="O16" s="831" t="n"/>
      <c r="P16" s="848">
        <f>IF($L16="",0,IFERROR(INDEX(PriceBook!$D$2:$D$203,MATCH($L16,PriceBook!$B$2:$B$203,0)),0))</f>
        <v/>
      </c>
      <c r="Q16" s="849">
        <f>IF(OR($E16="all_in_one",$E16="power_cabinet",$E16="level_2"),N($I16),0)</f>
        <v/>
      </c>
      <c r="R16" s="849">
        <f>IF(N($Q16)=0,"",SUM($Q$7:$Q16)-N($Q16)+1)</f>
        <v/>
      </c>
      <c r="S16" s="849">
        <f>SUM($Q$7:$Q16)</f>
        <v/>
      </c>
      <c r="T16" s="849">
        <f>IF($E16="power_cabinet",N($I16)*N($N16),0)</f>
        <v/>
      </c>
      <c r="U16" s="849">
        <f>IF(N($T16)=0,"",SUM($T$7:$T16)-N($T16)+1)</f>
        <v/>
      </c>
      <c r="V16" s="849">
        <f>SUM($T$7:$T16)</f>
        <v/>
      </c>
    </row>
    <row r="17" ht="16" customHeight="1" s="254">
      <c r="A17" s="825" t="n">
        <v>11</v>
      </c>
      <c r="B17" s="807" t="n"/>
      <c r="C17" s="807" t="n"/>
      <c r="D17" s="844">
        <f>IFERROR(INDEX(PriceBook!$C$2:$C$203,MATCH($C17,PriceBook!$B$2:$B$203,0)),"")</f>
        <v/>
      </c>
      <c r="E17" s="844">
        <f>IF($C17="","",IFERROR(INDEX(ROLE_VAL,MATCH($C17,ROLE_SKU,0)),"all_in_one"))</f>
        <v/>
      </c>
      <c r="F17" s="845">
        <f>IF($C17="",0,IFERROR(INDEX(SPEC_DCKW,MATCH($C17,SPEC_SKU,0)),IF($E17="dispenser",0,IF($E17="accessory",0,IFERROR(IF(N(INDEX(PriceBook!$E$2:$E$203,MATCH($C17,PriceBook!$B$2:$B$203,0)))&gt;0,INDEX(PriceBook!$E$2:$E$203,MATCH($C17,PriceBook!$B$2:$B$203,0)),INDEX(RATED_KW,MATCH($B17,CAPACITY_LIST,0))*IF(INDEX(PER_PORT,MATCH($B17,CAPACITY_LIST,0))=1,MAX(1,N($H17)),1)),0)))))</f>
        <v/>
      </c>
      <c r="G17" s="846">
        <f>IF($C17="",0,IFERROR(INDEX(SPEC_ACKW,MATCH($C17,SPEC_SKU,0)),$F17)*IF(AND($E17="level_2",N($B$30)&gt;0,$B$30&lt;240),$B$30/240,1))</f>
        <v/>
      </c>
      <c r="H17" s="845">
        <f>IF($C17="",0,IF($E17="power_cabinet",N($N17)*N($O17),IFERROR(INDEX(SPEC_OUTS,MATCH($C17,SPEC_SKU,0)),IFERROR(INDEX(SKU_CONN,MATCH($C17,SKU_ALL,0)),0))))</f>
        <v/>
      </c>
      <c r="I17" s="831" t="n"/>
      <c r="J17" s="847" t="n"/>
      <c r="K17" s="848">
        <f>IFERROR(INDEX(PriceBook!$D$2:$D$203,MATCH($C17,PriceBook!$B$2:$B$203,0)),0)</f>
        <v/>
      </c>
      <c r="L17" s="807" t="n"/>
      <c r="M17" s="845">
        <f>IF($E17&lt;&gt;"power_cabinet",0,IFERROR(INDEX(SPEC_MAXDISP,MATCH($C17,SPEC_SKU,0)),0))</f>
        <v/>
      </c>
      <c r="N17" s="831" t="n"/>
      <c r="O17" s="831" t="n"/>
      <c r="P17" s="848">
        <f>IF($L17="",0,IFERROR(INDEX(PriceBook!$D$2:$D$203,MATCH($L17,PriceBook!$B$2:$B$203,0)),0))</f>
        <v/>
      </c>
      <c r="Q17" s="849">
        <f>IF(OR($E17="all_in_one",$E17="power_cabinet",$E17="level_2"),N($I17),0)</f>
        <v/>
      </c>
      <c r="R17" s="849">
        <f>IF(N($Q17)=0,"",SUM($Q$7:$Q17)-N($Q17)+1)</f>
        <v/>
      </c>
      <c r="S17" s="849">
        <f>SUM($Q$7:$Q17)</f>
        <v/>
      </c>
      <c r="T17" s="849">
        <f>IF($E17="power_cabinet",N($I17)*N($N17),0)</f>
        <v/>
      </c>
      <c r="U17" s="849">
        <f>IF(N($T17)=0,"",SUM($T$7:$T17)-N($T17)+1)</f>
        <v/>
      </c>
      <c r="V17" s="849">
        <f>SUM($T$7:$T17)</f>
        <v/>
      </c>
    </row>
    <row r="18" ht="16" customHeight="1" s="254">
      <c r="A18" s="825" t="n">
        <v>12</v>
      </c>
      <c r="B18" s="807" t="n"/>
      <c r="C18" s="807" t="n"/>
      <c r="D18" s="844">
        <f>IFERROR(INDEX(PriceBook!$C$2:$C$203,MATCH($C18,PriceBook!$B$2:$B$203,0)),"")</f>
        <v/>
      </c>
      <c r="E18" s="844">
        <f>IF($C18="","",IFERROR(INDEX(ROLE_VAL,MATCH($C18,ROLE_SKU,0)),"all_in_one"))</f>
        <v/>
      </c>
      <c r="F18" s="845">
        <f>IF($C18="",0,IFERROR(INDEX(SPEC_DCKW,MATCH($C18,SPEC_SKU,0)),IF($E18="dispenser",0,IF($E18="accessory",0,IFERROR(IF(N(INDEX(PriceBook!$E$2:$E$203,MATCH($C18,PriceBook!$B$2:$B$203,0)))&gt;0,INDEX(PriceBook!$E$2:$E$203,MATCH($C18,PriceBook!$B$2:$B$203,0)),INDEX(RATED_KW,MATCH($B18,CAPACITY_LIST,0))*IF(INDEX(PER_PORT,MATCH($B18,CAPACITY_LIST,0))=1,MAX(1,N($H18)),1)),0)))))</f>
        <v/>
      </c>
      <c r="G18" s="846">
        <f>IF($C18="",0,IFERROR(INDEX(SPEC_ACKW,MATCH($C18,SPEC_SKU,0)),$F18)*IF(AND($E18="level_2",N($B$30)&gt;0,$B$30&lt;240),$B$30/240,1))</f>
        <v/>
      </c>
      <c r="H18" s="845">
        <f>IF($C18="",0,IF($E18="power_cabinet",N($N18)*N($O18),IFERROR(INDEX(SPEC_OUTS,MATCH($C18,SPEC_SKU,0)),IFERROR(INDEX(SKU_CONN,MATCH($C18,SKU_ALL,0)),0))))</f>
        <v/>
      </c>
      <c r="I18" s="831" t="n"/>
      <c r="J18" s="847" t="n"/>
      <c r="K18" s="848">
        <f>IFERROR(INDEX(PriceBook!$D$2:$D$203,MATCH($C18,PriceBook!$B$2:$B$203,0)),0)</f>
        <v/>
      </c>
      <c r="L18" s="807" t="n"/>
      <c r="M18" s="845">
        <f>IF($E18&lt;&gt;"power_cabinet",0,IFERROR(INDEX(SPEC_MAXDISP,MATCH($C18,SPEC_SKU,0)),0))</f>
        <v/>
      </c>
      <c r="N18" s="831" t="n"/>
      <c r="O18" s="831" t="n"/>
      <c r="P18" s="848">
        <f>IF($L18="",0,IFERROR(INDEX(PriceBook!$D$2:$D$203,MATCH($L18,PriceBook!$B$2:$B$203,0)),0))</f>
        <v/>
      </c>
      <c r="Q18" s="849">
        <f>IF(OR($E18="all_in_one",$E18="power_cabinet",$E18="level_2"),N($I18),0)</f>
        <v/>
      </c>
      <c r="R18" s="849">
        <f>IF(N($Q18)=0,"",SUM($Q$7:$Q18)-N($Q18)+1)</f>
        <v/>
      </c>
      <c r="S18" s="849">
        <f>SUM($Q$7:$Q18)</f>
        <v/>
      </c>
      <c r="T18" s="849">
        <f>IF($E18="power_cabinet",N($I18)*N($N18),0)</f>
        <v/>
      </c>
      <c r="U18" s="849">
        <f>IF(N($T18)=0,"",SUM($T$7:$T18)-N($T18)+1)</f>
        <v/>
      </c>
      <c r="V18" s="849">
        <f>SUM($T$7:$T18)</f>
        <v/>
      </c>
    </row>
    <row r="19" ht="16" customHeight="1" s="254">
      <c r="A19" s="811" t="n"/>
      <c r="B19" s="804" t="n"/>
      <c r="C19" s="804" t="n"/>
      <c r="D19" s="804" t="n"/>
      <c r="E19" s="804" t="n"/>
      <c r="F19" s="804" t="n"/>
      <c r="G19" s="804" t="n"/>
      <c r="H19" s="804" t="n"/>
      <c r="I19" s="804" t="n"/>
      <c r="J19" s="804" t="n"/>
      <c r="K19" s="804" t="n"/>
      <c r="L19" s="804" t="n"/>
      <c r="M19" s="804" t="n"/>
      <c r="N19" s="804" t="n"/>
      <c r="O19" s="804" t="n"/>
      <c r="P19" s="804" t="n"/>
      <c r="Q19" s="804" t="n"/>
      <c r="R19" s="804" t="n"/>
      <c r="S19" s="804" t="n"/>
      <c r="T19" s="804" t="n"/>
      <c r="U19" s="804" t="n"/>
      <c r="V19" s="804" t="n"/>
    </row>
    <row r="20" ht="16" customHeight="1" s="254">
      <c r="A20" s="781" t="inlineStr">
        <is>
          <t>Charging units (excludes accessories)</t>
        </is>
      </c>
      <c r="B20" s="850">
        <f>SUMPRODUCT(--($H$7:$H$18&gt;0),$I$7:$I$18)</f>
        <v/>
      </c>
      <c r="C20" s="792" t="inlineStr">
        <is>
          <t>Units a driver plugs into — dispensers, all-in-one chargers and Level 2. A power cabinet has no connectors and is not one.</t>
        </is>
      </c>
      <c r="L20" s="804" t="n"/>
      <c r="M20" s="804" t="n"/>
      <c r="N20" s="804" t="n"/>
      <c r="O20" s="804" t="n"/>
      <c r="P20" s="804" t="n"/>
      <c r="Q20" s="804" t="n"/>
      <c r="R20" s="804" t="n"/>
      <c r="S20" s="804" t="n"/>
      <c r="T20" s="804" t="n"/>
      <c r="U20" s="804" t="n"/>
      <c r="V20" s="804" t="n"/>
    </row>
    <row r="21" ht="31" customHeight="1" s="254">
      <c r="A21" s="781" t="inlineStr">
        <is>
          <t>AC-connected units — cabinets and all-in-ones</t>
        </is>
      </c>
      <c r="B21" s="850">
        <f>SUMPRODUCT(($E$7:$E$18="power_cabinet")+($E$7:$E$18="all_in_one"),$I$7:$I$18)</f>
        <v/>
      </c>
      <c r="C21" s="792" t="inlineStr">
        <is>
          <t>Each of these needs its own AC run from the switchgear, and a placement distance on the Electrical tab.</t>
        </is>
      </c>
      <c r="G21" s="804" t="n"/>
      <c r="H21" s="804" t="n"/>
      <c r="I21" s="804" t="n"/>
      <c r="J21" s="804" t="n"/>
      <c r="K21" s="804" t="n"/>
      <c r="L21" s="804" t="n"/>
      <c r="M21" s="804" t="n"/>
      <c r="N21" s="804" t="n"/>
      <c r="O21" s="804" t="n"/>
      <c r="P21" s="804" t="n"/>
      <c r="Q21" s="804" t="n"/>
      <c r="R21" s="804" t="n"/>
      <c r="S21" s="804" t="n"/>
      <c r="T21" s="804" t="n"/>
      <c r="U21" s="804" t="n"/>
      <c r="V21" s="804" t="n"/>
    </row>
    <row r="22" ht="16" customHeight="1" s="254">
      <c r="A22" s="781" t="inlineStr">
        <is>
          <t>Total ports</t>
        </is>
      </c>
      <c r="B22" s="850">
        <f>SUMPRODUCT($H$7:$H$18,$I$7:$I$18)</f>
        <v/>
      </c>
      <c r="C22" s="792" t="inlineStr">
        <is>
          <t>Connectors x units. The EVOLV billing basis. Dispensers carry the ports on a distributed system; the cabinet carries none.</t>
        </is>
      </c>
      <c r="L22" s="804" t="n"/>
      <c r="M22" s="804" t="n"/>
      <c r="N22" s="804" t="n"/>
      <c r="O22" s="804" t="n"/>
      <c r="P22" s="804" t="n"/>
      <c r="Q22" s="804" t="n"/>
      <c r="R22" s="804" t="n"/>
      <c r="S22" s="804" t="n"/>
      <c r="T22" s="804" t="n"/>
      <c r="U22" s="804" t="n"/>
      <c r="V22" s="804" t="n"/>
    </row>
    <row r="23" ht="16" customHeight="1" s="254">
      <c r="A23" s="781" t="inlineStr">
        <is>
          <t>Total connected load (kW)</t>
        </is>
      </c>
      <c r="B23" s="850">
        <f>SUMPRODUCT(($E$7:$E$18="power_cabinet")+($E$7:$E$18="all_in_one")+($E$7:$E$18="level_2"),$G$7:$G$18,$I$7:$I$18)</f>
        <v/>
      </c>
      <c r="C23" s="792" t="inlineStr">
        <is>
          <t>AC input, which is what the switchgear sees — a 480 kW cabinet draws 524 kW. Dispensers add nothing: their power comes from the cabinet, not the switchgear.</t>
        </is>
      </c>
      <c r="L23" s="804" t="n"/>
      <c r="M23" s="804" t="n"/>
      <c r="N23" s="804" t="n"/>
      <c r="O23" s="804" t="n"/>
      <c r="P23" s="804" t="n"/>
      <c r="Q23" s="804" t="n"/>
      <c r="R23" s="804" t="n"/>
      <c r="S23" s="804" t="n"/>
      <c r="T23" s="804" t="n"/>
      <c r="U23" s="804" t="n"/>
      <c r="V23" s="804" t="n"/>
    </row>
    <row r="24" ht="16" customHeight="1" s="254">
      <c r="A24" s="781" t="inlineStr">
        <is>
          <t>Equipment MSRP total</t>
        </is>
      </c>
      <c r="B24" s="851">
        <f>SUMPRODUCT($I$7:$I$18,$K$7:$K$18)+SUMPRODUCT($I$7:$I$18,$N$7:$N$18,$P$7:$P$18)</f>
        <v/>
      </c>
      <c r="C24" s="811" t="inlineStr">
        <is>
          <t>Catalogue SKUs at their price-book price, plus any dispensers priced by hand on the cabinet row.</t>
        </is>
      </c>
      <c r="G24" s="804" t="n"/>
      <c r="H24" s="804" t="n"/>
      <c r="I24" s="804" t="n"/>
      <c r="J24" s="804" t="n"/>
      <c r="K24" s="804" t="n"/>
      <c r="L24" s="804" t="n"/>
      <c r="M24" s="804" t="n"/>
      <c r="N24" s="804" t="n"/>
      <c r="O24" s="804" t="n"/>
      <c r="P24" s="804" t="n"/>
      <c r="Q24" s="804" t="n"/>
      <c r="R24" s="804" t="n"/>
      <c r="S24" s="804" t="n"/>
      <c r="T24" s="804" t="n"/>
      <c r="U24" s="804" t="n"/>
      <c r="V24" s="804" t="n"/>
    </row>
    <row r="25" ht="16" customHeight="1" s="254">
      <c r="A25" s="781" t="inlineStr">
        <is>
          <t>Equipment after discount</t>
        </is>
      </c>
      <c r="B25" s="851">
        <f>$B$24*(1-Commercial!$B$5)</f>
        <v/>
      </c>
      <c r="C25" s="792" t="inlineStr">
        <is>
          <t>Sales tax is computed on THIS, not on MSRP. The discount is the one on the Commercial tab — there is no per-line discount any more.</t>
        </is>
      </c>
      <c r="L25" s="804" t="n"/>
      <c r="M25" s="804" t="n"/>
      <c r="N25" s="804" t="n"/>
      <c r="O25" s="804" t="n"/>
      <c r="P25" s="804" t="n"/>
      <c r="Q25" s="804" t="n"/>
      <c r="R25" s="804" t="n"/>
      <c r="S25" s="804" t="n"/>
      <c r="T25" s="804" t="n"/>
      <c r="U25" s="804" t="n"/>
      <c r="V25" s="804" t="n"/>
    </row>
    <row r="26" ht="31" customHeight="1" s="254">
      <c r="A26" s="794" t="inlineStr">
        <is>
          <t>of which DC fast-charging capacity (kW)</t>
        </is>
      </c>
      <c r="B26" s="852">
        <f>SUMPRODUCT(($E$7:$E$18="power_cabinet")+($E$7:$E$18="all_in_one"),$F$7:$F$18,$I$7:$I$18)</f>
        <v/>
      </c>
      <c r="C26" s="816" t="inlineStr">
        <is>
          <t>DC output. The LCFS credit basis. Counted once, at the cabinet — never again at the dispenser.</t>
        </is>
      </c>
      <c r="G26" s="804" t="n"/>
      <c r="H26" s="804" t="n"/>
      <c r="I26" s="804" t="n"/>
      <c r="J26" s="804" t="n"/>
      <c r="K26" s="804" t="n"/>
      <c r="L26" s="804" t="n"/>
      <c r="M26" s="804" t="n"/>
      <c r="N26" s="804" t="n"/>
      <c r="O26" s="804" t="n"/>
      <c r="P26" s="804" t="n"/>
      <c r="Q26" s="804" t="n"/>
      <c r="R26" s="804" t="n"/>
      <c r="S26" s="804" t="n"/>
      <c r="T26" s="804" t="n"/>
      <c r="U26" s="804" t="n"/>
      <c r="V26" s="804" t="n"/>
    </row>
    <row r="27" ht="33.5" customHeight="1" s="254">
      <c r="A27" s="798" t="inlineStr">
        <is>
          <t>Scope of work sentence (one line, must match the rows above)</t>
        </is>
      </c>
      <c r="B27" s="853" t="inlineStr">
        <is>
          <t>Installation of (4) 360 kW dual-port DC fast chargers and (2) dual Level 2 units — 12 charging positions</t>
        </is>
      </c>
      <c r="I27" s="804" t="n"/>
      <c r="J27" s="804" t="n"/>
      <c r="K27" s="804" t="n"/>
      <c r="L27" s="804" t="n"/>
      <c r="M27" s="804" t="n"/>
      <c r="N27" s="804" t="n"/>
      <c r="O27" s="804" t="n"/>
      <c r="P27" s="804" t="n"/>
      <c r="Q27" s="804" t="n"/>
      <c r="R27" s="804" t="n"/>
      <c r="S27" s="804" t="n"/>
      <c r="T27" s="804" t="n"/>
      <c r="U27" s="804" t="n"/>
      <c r="V27" s="804" t="n"/>
    </row>
    <row r="28" ht="16" customHeight="1" s="254">
      <c r="A28" s="781" t="n"/>
      <c r="B28" s="854" t="n"/>
      <c r="C28" s="854" t="n"/>
      <c r="D28" s="854" t="n"/>
      <c r="E28" s="854" t="n"/>
      <c r="F28" s="854" t="n"/>
      <c r="G28" s="854" t="n"/>
      <c r="H28" s="854" t="n"/>
      <c r="I28" s="854" t="n"/>
      <c r="J28" s="854" t="n"/>
      <c r="K28" s="854" t="n"/>
      <c r="L28" s="854" t="n"/>
      <c r="M28" s="854" t="n"/>
      <c r="N28" s="854" t="n"/>
      <c r="O28" s="854" t="n"/>
      <c r="P28" s="854" t="n"/>
      <c r="Q28" s="804" t="n"/>
      <c r="R28" s="804" t="n"/>
      <c r="S28" s="804" t="n"/>
      <c r="T28" s="804" t="n"/>
      <c r="U28" s="804" t="n"/>
      <c r="V28" s="804" t="n"/>
    </row>
    <row r="29" ht="31" customHeight="1" s="254">
      <c r="A29" s="811" t="n"/>
      <c r="B29" s="792" t="inlineStr">
        <is>
          <t>Write it from the table, e.g. "Installation of (4) 360 kW dual-port DC fast chargers — 8 charging positions".</t>
        </is>
      </c>
      <c r="E29" s="804" t="n"/>
      <c r="F29" s="804" t="n"/>
      <c r="G29" s="804" t="n"/>
      <c r="H29" s="804" t="n"/>
      <c r="I29" s="804" t="n"/>
      <c r="J29" s="804" t="n"/>
      <c r="K29" s="804" t="n"/>
      <c r="L29" s="804" t="n"/>
      <c r="M29" s="804" t="n"/>
      <c r="N29" s="804" t="n"/>
      <c r="O29" s="804" t="n"/>
      <c r="P29" s="804" t="n"/>
      <c r="Q29" s="804" t="n"/>
      <c r="R29" s="804" t="n"/>
      <c r="S29" s="804" t="n"/>
      <c r="T29" s="804" t="n"/>
      <c r="U29" s="804" t="n"/>
      <c r="V29" s="804" t="n"/>
    </row>
    <row r="30" ht="206" customHeight="1" s="254">
      <c r="A30" s="794" t="inlineStr">
        <is>
          <t>Level 2 supply voltage (V)</t>
        </is>
      </c>
      <c r="B30" s="831" t="n"/>
      <c r="C30" s="792"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D30" s="804" t="n"/>
      <c r="E30" s="804" t="n"/>
      <c r="F30" s="804" t="n"/>
      <c r="G30" s="804" t="n"/>
      <c r="H30" s="804" t="n"/>
      <c r="I30" s="804" t="n"/>
      <c r="J30" s="804" t="n"/>
      <c r="K30" s="804" t="n"/>
      <c r="L30" s="804" t="n"/>
      <c r="M30" s="804" t="n"/>
      <c r="N30" s="804" t="n"/>
      <c r="O30" s="804" t="n"/>
      <c r="P30" s="804" t="n"/>
      <c r="Q30" s="804" t="n"/>
      <c r="R30" s="804" t="n"/>
      <c r="S30" s="804" t="n"/>
      <c r="T30" s="804" t="n"/>
      <c r="U30" s="804" t="n"/>
      <c r="V30" s="804" t="n"/>
    </row>
    <row r="31" ht="16" customHeight="1" s="254">
      <c r="A31" s="811" t="n"/>
      <c r="B31" s="804" t="n"/>
      <c r="C31" s="804" t="n"/>
      <c r="D31" s="804" t="n"/>
      <c r="E31" s="804" t="n"/>
      <c r="F31" s="804" t="n"/>
      <c r="G31" s="804" t="n"/>
      <c r="H31" s="804" t="n"/>
      <c r="I31" s="804" t="n"/>
      <c r="J31" s="804" t="n"/>
      <c r="K31" s="804" t="n"/>
      <c r="L31" s="804" t="n"/>
      <c r="M31" s="804" t="n"/>
      <c r="N31" s="804" t="n"/>
      <c r="O31" s="804" t="n"/>
      <c r="P31" s="804" t="n"/>
      <c r="Q31" s="804" t="n"/>
      <c r="R31" s="804" t="n"/>
      <c r="S31" s="804" t="n"/>
      <c r="T31" s="804" t="n"/>
      <c r="U31" s="804" t="n"/>
      <c r="V31" s="804" t="n"/>
    </row>
    <row r="32" ht="33.5" customHeight="1" s="254">
      <c r="A32" s="798" t="inlineStr">
        <is>
          <t>Distributed system — do the dispensers fit the cabinets?</t>
        </is>
      </c>
      <c r="B32" s="804" t="n"/>
      <c r="C32" s="804" t="n"/>
      <c r="D32" s="804" t="n"/>
      <c r="E32" s="804" t="n"/>
      <c r="F32" s="804" t="n"/>
      <c r="G32" s="804" t="n"/>
      <c r="H32" s="804" t="n"/>
      <c r="I32" s="804" t="n"/>
      <c r="J32" s="804" t="n"/>
      <c r="K32" s="804" t="n"/>
      <c r="L32" s="804" t="n"/>
      <c r="M32" s="804" t="n"/>
      <c r="N32" s="804" t="n"/>
      <c r="O32" s="804" t="n"/>
      <c r="P32" s="804" t="n"/>
      <c r="Q32" s="804" t="n"/>
      <c r="R32" s="804" t="n"/>
      <c r="S32" s="804" t="n"/>
      <c r="T32" s="804" t="n"/>
      <c r="U32" s="804" t="n"/>
      <c r="V32" s="804" t="n"/>
    </row>
    <row r="33" hidden="1" outlineLevel="1" ht="31" customHeight="1" s="254">
      <c r="A33" s="816" t="inlineStr">
        <is>
          <t>Only relevant when a power cabinet is on the schedule. A cabinet feeds a limited number of DC outputs; each dual dispenser consumes two of them. Every dispenser also needs a DC run back to its cabinet — schedule those on the Electrical tab.</t>
        </is>
      </c>
      <c r="I33" s="804" t="n"/>
      <c r="J33" s="804" t="n"/>
      <c r="K33" s="804" t="n"/>
      <c r="L33" s="804" t="n"/>
      <c r="M33" s="804" t="n"/>
      <c r="N33" s="804" t="n"/>
      <c r="O33" s="804" t="n"/>
      <c r="P33" s="804" t="n"/>
      <c r="Q33" s="804" t="n"/>
      <c r="R33" s="804" t="n"/>
      <c r="S33" s="804" t="n"/>
      <c r="T33" s="804" t="n"/>
      <c r="U33" s="804" t="n"/>
      <c r="V33" s="804" t="n"/>
    </row>
    <row r="34" hidden="1" outlineLevel="1" ht="16" customHeight="1" s="254">
      <c r="A34" s="781" t="inlineStr">
        <is>
          <t>Power cabinets on site</t>
        </is>
      </c>
      <c r="B34" s="855">
        <f>SUMPRODUCT(--($E$7:$E$18="power_cabinet"),$I$7:$I$18)</f>
        <v/>
      </c>
      <c r="C34" s="804" t="n"/>
      <c r="D34" s="804" t="n"/>
      <c r="E34" s="804" t="n"/>
      <c r="F34" s="804" t="n"/>
      <c r="G34" s="804" t="n"/>
      <c r="H34" s="804" t="n"/>
      <c r="I34" s="804" t="n"/>
      <c r="J34" s="804" t="n"/>
      <c r="K34" s="804" t="n"/>
      <c r="L34" s="804" t="n"/>
      <c r="M34" s="804" t="n"/>
      <c r="N34" s="804" t="n"/>
      <c r="O34" s="804" t="n"/>
      <c r="P34" s="804" t="n"/>
      <c r="Q34" s="804" t="n"/>
      <c r="R34" s="804" t="n"/>
      <c r="S34" s="804" t="n"/>
      <c r="T34" s="804" t="n"/>
      <c r="U34" s="804" t="n"/>
      <c r="V34" s="804" t="n"/>
    </row>
    <row r="35" hidden="1" outlineLevel="1" ht="16" customHeight="1" s="254">
      <c r="A35" s="781" t="inlineStr">
        <is>
          <t>Dispensers those cabinets can take</t>
        </is>
      </c>
      <c r="B35" s="855">
        <f>SUMPRODUCT($M$7:$M$18,$I$7:$I$18)</f>
        <v/>
      </c>
      <c r="C35" s="816" t="inlineStr">
        <is>
          <t>From the architecture table: a 480 kW cabinet takes up to 3 dual dispensers, a 1.28 MW up to 8.</t>
        </is>
      </c>
      <c r="I35" s="804" t="n"/>
      <c r="J35" s="804" t="n"/>
      <c r="K35" s="804" t="n"/>
      <c r="L35" s="804" t="n"/>
      <c r="M35" s="804" t="n"/>
      <c r="N35" s="804" t="n"/>
      <c r="O35" s="804" t="n"/>
      <c r="P35" s="804" t="n"/>
      <c r="Q35" s="804" t="n"/>
      <c r="R35" s="804" t="n"/>
      <c r="S35" s="804" t="n"/>
      <c r="T35" s="804" t="n"/>
      <c r="U35" s="804" t="n"/>
      <c r="V35" s="804" t="n"/>
    </row>
    <row r="36" hidden="1" outlineLevel="1" ht="16" customHeight="1" s="254">
      <c r="A36" s="781" t="inlineStr">
        <is>
          <t>Dispensers on the cabinet rows</t>
        </is>
      </c>
      <c r="B36" s="855">
        <f>SUMPRODUCT(--($E$7:$E$18="power_cabinet"),$N$7:$N$18,$I$7:$I$18)</f>
        <v/>
      </c>
      <c r="C36" s="816" t="inlineStr">
        <is>
          <t>Dispensers per cabinet x the number of cabinets. This is now the only way a dispenser is entered.</t>
        </is>
      </c>
      <c r="I36" s="804" t="n"/>
      <c r="J36" s="804" t="n"/>
      <c r="K36" s="804" t="n"/>
      <c r="L36" s="804" t="n"/>
      <c r="M36" s="804" t="n"/>
      <c r="N36" s="804" t="n"/>
      <c r="O36" s="804" t="n"/>
      <c r="P36" s="804" t="n"/>
      <c r="Q36" s="804" t="n"/>
      <c r="R36" s="804" t="n"/>
      <c r="S36" s="804" t="n"/>
      <c r="T36" s="804" t="n"/>
      <c r="U36" s="804" t="n"/>
      <c r="V36" s="804" t="n"/>
    </row>
    <row r="37" hidden="1" outlineLevel="1" ht="31" customHeight="1" s="254">
      <c r="A37" s="781" t="inlineStr">
        <is>
          <t>Dispensers entered on a line of their own</t>
        </is>
      </c>
      <c r="B37" s="855">
        <f>SUMPRODUCT(--($E$7:$E$18="dispenser"),$I$7:$I$18)</f>
        <v/>
      </c>
      <c r="C37" s="816" t="inlineStr">
        <is>
          <t>Should always be zero. A dispenser belongs on its cabinet row, not on a line of its own.</t>
        </is>
      </c>
      <c r="I37" s="804" t="n"/>
      <c r="J37" s="804" t="n"/>
      <c r="K37" s="804" t="n"/>
      <c r="L37" s="804" t="n"/>
      <c r="M37" s="804" t="n"/>
      <c r="N37" s="804" t="n"/>
      <c r="O37" s="804" t="n"/>
      <c r="P37" s="804" t="n"/>
      <c r="Q37" s="804" t="n"/>
      <c r="R37" s="804" t="n"/>
      <c r="S37" s="804" t="n"/>
      <c r="T37" s="804" t="n"/>
      <c r="U37" s="804" t="n"/>
      <c r="V37" s="804" t="n"/>
    </row>
    <row r="38" hidden="1" outlineLevel="1" ht="16" customHeight="1" s="254">
      <c r="A38" s="794" t="inlineStr">
        <is>
          <t>Dispensers in total</t>
        </is>
      </c>
      <c r="B38" s="856">
        <f>$B$36+$B$37</f>
        <v/>
      </c>
      <c r="C38" s="804" t="n"/>
      <c r="D38" s="804" t="n"/>
      <c r="E38" s="804" t="n"/>
      <c r="F38" s="804" t="n"/>
      <c r="G38" s="804" t="n"/>
      <c r="H38" s="804" t="n"/>
      <c r="I38" s="804" t="n"/>
      <c r="J38" s="804" t="n"/>
      <c r="K38" s="804" t="n"/>
      <c r="L38" s="804" t="n"/>
      <c r="M38" s="804" t="n"/>
      <c r="N38" s="804" t="n"/>
      <c r="O38" s="804" t="n"/>
      <c r="P38" s="804" t="n"/>
      <c r="Q38" s="804" t="n"/>
      <c r="R38" s="804" t="n"/>
      <c r="S38" s="804" t="n"/>
      <c r="T38" s="804" t="n"/>
      <c r="U38" s="804" t="n"/>
      <c r="V38" s="804" t="n"/>
    </row>
    <row r="39" hidden="1" outlineLevel="1" ht="16" customHeight="1" s="254">
      <c r="A39" s="781" t="inlineStr">
        <is>
          <t>Connectors those dispensers carry</t>
        </is>
      </c>
      <c r="B39" s="855">
        <f>SUMPRODUCT(--($E$7:$E$18="power_cabinet"),$H$7:$H$18,$I$7:$I$18)</f>
        <v/>
      </c>
      <c r="C39" s="804" t="n"/>
      <c r="D39" s="804" t="n"/>
      <c r="E39" s="804" t="n"/>
      <c r="F39" s="804" t="n"/>
      <c r="G39" s="804" t="n"/>
      <c r="H39" s="804" t="n"/>
      <c r="I39" s="804" t="n"/>
      <c r="J39" s="804" t="n"/>
      <c r="K39" s="804" t="n"/>
      <c r="L39" s="804" t="n"/>
      <c r="M39" s="804" t="n"/>
      <c r="N39" s="804" t="n"/>
      <c r="O39" s="804" t="n"/>
      <c r="P39" s="804" t="n"/>
      <c r="Q39" s="804" t="n"/>
      <c r="R39" s="804" t="n"/>
      <c r="S39" s="804" t="n"/>
      <c r="T39" s="804" t="n"/>
      <c r="U39" s="804" t="n"/>
      <c r="V39" s="804" t="n"/>
    </row>
    <row r="40" ht="16" customHeight="1" s="254">
      <c r="A40" s="794" t="inlineStr">
        <is>
          <t>DISTRIBUTED SYSTEM CHECK</t>
        </is>
      </c>
      <c r="B40" s="856">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804" t="n"/>
      <c r="J40" s="804" t="n"/>
      <c r="K40" s="804" t="n"/>
      <c r="L40" s="804" t="n"/>
      <c r="M40" s="804" t="n"/>
      <c r="N40" s="804" t="n"/>
      <c r="O40" s="804" t="n"/>
      <c r="P40" s="804" t="n"/>
      <c r="Q40" s="804" t="n"/>
      <c r="R40" s="804" t="n"/>
      <c r="S40" s="804" t="n"/>
      <c r="T40" s="804" t="n"/>
      <c r="U40" s="804" t="n"/>
      <c r="V40" s="804" t="n"/>
    </row>
    <row r="41" hidden="1" outlineLevel="1" ht="16" customHeight="1" s="254">
      <c r="A41" s="781" t="inlineStr">
        <is>
          <t>Dispenser value at list</t>
        </is>
      </c>
      <c r="B41" s="857">
        <f>SUMPRODUCT($I$7:$I$18,$N$7:$N$18,$P$7:$P$18)</f>
        <v/>
      </c>
      <c r="C41" s="816" t="inlineStr">
        <is>
          <t>Dispensers x their price-book price. Included in the two equipment totals above.</t>
        </is>
      </c>
      <c r="I41" s="804" t="n"/>
      <c r="J41" s="804" t="n"/>
      <c r="K41" s="804" t="n"/>
      <c r="L41" s="804" t="n"/>
      <c r="M41" s="804" t="n"/>
      <c r="N41" s="804" t="n"/>
      <c r="O41" s="804" t="n"/>
      <c r="P41" s="804" t="n"/>
      <c r="Q41" s="804" t="n"/>
      <c r="R41" s="804" t="n"/>
      <c r="S41" s="804" t="n"/>
      <c r="T41" s="804" t="n"/>
      <c r="U41" s="804" t="n"/>
      <c r="V41" s="804" t="n"/>
    </row>
    <row r="42" hidden="1" outlineLevel="1" ht="31" customHeight="1" s="254">
      <c r="A42" s="794" t="inlineStr">
        <is>
          <t>Is a dispenser SKU picked where dispensers are scheduled?</t>
        </is>
      </c>
      <c r="B42" s="858">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804" t="n"/>
      <c r="J42" s="804" t="n"/>
      <c r="K42" s="804" t="n"/>
      <c r="L42" s="804" t="n"/>
      <c r="M42" s="804" t="n"/>
      <c r="N42" s="804" t="n"/>
      <c r="O42" s="804" t="n"/>
      <c r="P42" s="804" t="n"/>
      <c r="Q42" s="804" t="n"/>
      <c r="R42" s="804" t="n"/>
      <c r="S42" s="804" t="n"/>
      <c r="T42" s="804" t="n"/>
      <c r="U42" s="804" t="n"/>
      <c r="V42" s="804" t="n"/>
    </row>
    <row r="43" hidden="1" outlineLevel="1" ht="31" customHeight="1" s="254">
      <c r="A43" s="781" t="inlineStr">
        <is>
          <t>Any dispenser on a line of its own?</t>
        </is>
      </c>
      <c r="B43" s="855">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814" t="inlineStr">
        <is>
          <t>It used to fire whenever a dispenser was on its own line at all, which is a legitimate entry now the dispenser SKU is in the price book. The thing that is actually wrong is using both routes, because the totals sum them.</t>
        </is>
      </c>
      <c r="L43" s="804" t="n"/>
      <c r="M43" s="804" t="n"/>
      <c r="N43" s="804" t="n"/>
      <c r="O43" s="804" t="n"/>
      <c r="P43" s="804" t="n"/>
      <c r="Q43" s="804" t="n"/>
      <c r="R43" s="804" t="n"/>
      <c r="S43" s="804" t="n"/>
      <c r="T43" s="804" t="n"/>
      <c r="U43" s="804" t="n"/>
      <c r="V43" s="804" t="n"/>
    </row>
    <row r="44" hidden="1" outlineLevel="1" ht="31" customHeight="1" s="254">
      <c r="A44" s="781" t="inlineStr">
        <is>
          <t>Level 2 units rated at their supply voltage?</t>
        </is>
      </c>
      <c r="B44" s="856">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859" t="n"/>
      <c r="D44" s="804" t="n"/>
      <c r="E44" s="804" t="n"/>
      <c r="F44" s="804" t="n"/>
      <c r="G44" s="804" t="n"/>
      <c r="H44" s="804" t="n"/>
      <c r="I44" s="804" t="n"/>
      <c r="J44" s="804" t="n"/>
      <c r="K44" s="804" t="n"/>
      <c r="L44" s="804" t="n"/>
      <c r="M44" s="804" t="n"/>
      <c r="N44" s="804" t="n"/>
      <c r="O44" s="804" t="n"/>
      <c r="P44" s="804" t="n"/>
      <c r="Q44" s="804" t="n"/>
      <c r="R44" s="804" t="n"/>
      <c r="S44" s="804" t="n"/>
      <c r="T44" s="804" t="n"/>
      <c r="U44" s="804" t="n"/>
      <c r="V44" s="804" t="n"/>
    </row>
    <row r="45" hidden="1" outlineLevel="1" ht="16" customHeight="1" s="254">
      <c r="A45" s="811" t="n"/>
      <c r="B45" s="804" t="n"/>
      <c r="C45" s="804" t="n"/>
      <c r="D45" s="804" t="n"/>
      <c r="E45" s="804" t="n"/>
      <c r="F45" s="804" t="n"/>
      <c r="G45" s="804" t="n"/>
      <c r="H45" s="804" t="n"/>
      <c r="I45" s="804" t="n"/>
      <c r="J45" s="804" t="n"/>
      <c r="K45" s="804" t="n"/>
      <c r="L45" s="804" t="n"/>
      <c r="M45" s="804" t="n"/>
      <c r="N45" s="804" t="n"/>
      <c r="O45" s="804" t="n"/>
      <c r="P45" s="804" t="n"/>
      <c r="Q45" s="804" t="n"/>
      <c r="R45" s="804" t="n"/>
      <c r="S45" s="804" t="n"/>
      <c r="T45" s="804" t="n"/>
      <c r="U45" s="804" t="n"/>
      <c r="V45" s="804" t="n"/>
    </row>
    <row r="46" ht="19.75" customHeight="1" s="254">
      <c r="A46" s="798" t="inlineStr">
        <is>
          <t>ENTRY CHECKS — what a wrong entry looks like</t>
        </is>
      </c>
      <c r="Q46" s="804" t="n"/>
      <c r="R46" s="804" t="n"/>
      <c r="S46" s="804" t="n"/>
      <c r="T46" s="804" t="n"/>
      <c r="U46" s="804" t="n"/>
      <c r="V46" s="804" t="n"/>
    </row>
    <row r="47" hidden="1" outlineLevel="1" ht="16" customHeight="1" s="254">
      <c r="A47" s="816" t="inlineStr">
        <is>
          <t>Each of these is a real way to get a wrong answer out of this tab. None of them used to say anything.</t>
        </is>
      </c>
      <c r="Q47" s="804" t="n"/>
      <c r="R47" s="804" t="n"/>
      <c r="S47" s="804" t="n"/>
      <c r="T47" s="804" t="n"/>
      <c r="U47" s="804" t="n"/>
      <c r="V47" s="804" t="n"/>
    </row>
    <row r="48" hidden="1" outlineLevel="1" ht="31" customHeight="1" s="254">
      <c r="A48" s="781" t="inlineStr">
        <is>
          <t>Any discount typed on an equipment line?</t>
        </is>
      </c>
      <c r="B48" s="856">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804" t="n"/>
      <c r="R48" s="804" t="n"/>
      <c r="S48" s="804" t="n"/>
      <c r="T48" s="804" t="n"/>
      <c r="U48" s="804" t="n"/>
      <c r="V48" s="804" t="n"/>
    </row>
    <row r="49" hidden="1" outlineLevel="1" ht="16" customHeight="1" s="254">
      <c r="A49" s="781" t="inlineStr">
        <is>
          <t>Dispensers counted twice?</t>
        </is>
      </c>
      <c r="B49" s="856">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804" t="n"/>
      <c r="R49" s="804" t="n"/>
      <c r="S49" s="804" t="n"/>
      <c r="T49" s="804" t="n"/>
      <c r="U49" s="804" t="n"/>
      <c r="V49" s="804" t="n"/>
    </row>
    <row r="50" hidden="1" outlineLevel="1" ht="16" customHeight="1" s="254">
      <c r="A50" s="781" t="inlineStr">
        <is>
          <t>Anything entered below the table?</t>
        </is>
      </c>
      <c r="B50" s="856">
        <f>IF(COUNTA($B$19:$C$19)&gt;0,"ERROR — SOMETHING IS ENTERED BELOW LINE 12. Every total on this tab covers rows 7 to 18 only, so a line entered underneath is not counted and not priced. Move it into the table.","OK — nothing entered below the table")</f>
        <v/>
      </c>
      <c r="Q50" s="804" t="n"/>
      <c r="R50" s="804" t="n"/>
      <c r="S50" s="804" t="n"/>
      <c r="T50" s="804" t="n"/>
      <c r="U50" s="804" t="n"/>
      <c r="V50" s="804" t="n"/>
    </row>
    <row r="51" hidden="1" outlineLevel="1" ht="16" customHeight="1" s="254">
      <c r="A51" s="781" t="inlineStr">
        <is>
          <t>Every SKU found in the price book?</t>
        </is>
      </c>
      <c r="B51" s="856">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804" t="n"/>
      <c r="R51" s="804" t="n"/>
      <c r="S51" s="804" t="n"/>
      <c r="T51" s="804" t="n"/>
      <c r="U51" s="804" t="n"/>
      <c r="V51" s="804" t="n"/>
    </row>
    <row r="52" hidden="1" outlineLevel="1" ht="16" customHeight="1" s="254">
      <c r="A52" s="781" t="inlineStr">
        <is>
          <t>Every line with a SKU has a quantity?</t>
        </is>
      </c>
      <c r="B52" s="856">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804" t="n"/>
      <c r="R52" s="804" t="n"/>
      <c r="S52" s="804" t="n"/>
      <c r="T52" s="804" t="n"/>
      <c r="U52" s="804" t="n"/>
      <c r="V52" s="804" t="n"/>
    </row>
    <row r="53" hidden="1" outlineLevel="1" ht="16" customHeight="1" s="254">
      <c r="A53" s="781" t="inlineStr">
        <is>
          <t>Every line with a capacity has a SKU?</t>
        </is>
      </c>
      <c r="B53" s="856">
        <f>IF(SUMPRODUCT(($B$7:$B$18&lt;&gt;"")*($C$7:$C$18=""))&gt;0,"INCOMPLETE — a capacity is picked on a line with no SKU. The line is inert until the SKU is chosen.","OK — every line with a capacity has a SKU")</f>
        <v/>
      </c>
      <c r="Q53" s="804" t="n"/>
      <c r="R53" s="804" t="n"/>
      <c r="S53" s="804" t="n"/>
      <c r="T53" s="804" t="n"/>
      <c r="U53" s="804" t="n"/>
      <c r="V53" s="804" t="n"/>
    </row>
    <row r="54" hidden="1" outlineLevel="1" ht="16" customHeight="1" s="254">
      <c r="A54" s="781" t="inlineStr">
        <is>
          <t>Every SKU has a connector count?</t>
        </is>
      </c>
      <c r="B54" s="830">
        <f>IF(COUNTA($C$7:$C$18)=0,"OK — nothing scheduled yet",IF(SUMPRODUCT(--($C$7:$C$18&lt;&gt;""),--($E$7:$E$18&lt;&gt;"accessory"),--($E$7:$E$18&lt;&gt;"power_cabinet"),--(H$7:H$18=0))&gt;0,"A SCHEDULED SKU HAS NO CONNECTOR COUNT — add it to the price book column I; the sheet will not guess","OK — every scheduled SKU carries a connector count"))</f>
        <v/>
      </c>
      <c r="C54" s="814" t="inlineStr">
        <is>
          <t>Power cabinets are exempt: their connectors are on their dispensers, which are scheduled separately. Accessories are exempt for the same reason — they are not charging positions.</t>
        </is>
      </c>
      <c r="L54" s="804" t="n"/>
      <c r="M54" s="804" t="n"/>
      <c r="N54" s="804" t="n"/>
      <c r="O54" s="804" t="n"/>
      <c r="P54" s="804" t="n"/>
      <c r="Q54" s="804" t="n"/>
      <c r="R54" s="804" t="n"/>
      <c r="S54" s="804" t="n"/>
      <c r="T54" s="804" t="n"/>
      <c r="U54" s="804" t="n"/>
      <c r="V54" s="804" t="n"/>
    </row>
    <row r="55" ht="16" customHeight="1" s="254">
      <c r="A55" s="860">
        <f>IF(SUMPRODUCT(--($B$43:$B$54&lt;&gt;""),--(LEFT($B$43:$B$54,2)&lt;&gt;"OK"))&gt;0,"FIX "&amp;TEXT(SUMPRODUCT(--($B$43:$B$54&lt;&gt;""),--(LEFT($B$43:$B$54,2)&lt;&gt;"OK")),"0")&amp;" ITEM(S) ABOVE — the equipment totals on this tab are wrong until you do","ENTRY CHECKS ALL PASS")</f>
        <v/>
      </c>
      <c r="Q55" s="804" t="n"/>
      <c r="R55" s="804" t="n"/>
      <c r="S55" s="804" t="n"/>
      <c r="T55" s="804" t="n"/>
      <c r="U55" s="804" t="n"/>
      <c r="V55" s="804" t="n"/>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37"/>
  <sheetViews>
    <sheetView showGridLines="0" tabSelected="0" zoomScale="100" workbookViewId="0">
      <pane ySplit="2" topLeftCell="A3" activePane="bottomLeft" state="frozen"/>
      <selection pane="bottomLeft" activeCell="A1" sqref="A1"/>
    </sheetView>
  </sheetViews>
  <sheetFormatPr baseColWidth="8" defaultRowHeight="15" outlineLevelRow="1"/>
  <cols>
    <col width="32" customWidth="1" style="254" min="1" max="1"/>
    <col width="30" customWidth="1" style="254" min="2" max="2"/>
    <col width="1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11"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26" customHeight="1" s="254">
      <c r="A1" s="805" t="inlineStr">
        <is>
          <t>3 · SITE AND ELECTRICAL</t>
        </is>
      </c>
      <c r="I1" s="861" t="n"/>
      <c r="J1" s="861" t="n"/>
      <c r="K1" s="861" t="n"/>
      <c r="L1" s="861" t="n"/>
      <c r="M1" s="861" t="n"/>
      <c r="N1" s="861" t="n"/>
      <c r="O1" s="861" t="n"/>
      <c r="P1" s="861" t="n"/>
      <c r="Q1" s="861" t="n"/>
      <c r="R1" s="861" t="n"/>
      <c r="S1" s="861" t="n"/>
      <c r="T1" s="861" t="n"/>
      <c r="U1" s="861" t="n"/>
      <c r="V1" s="861" t="n"/>
      <c r="W1" s="861" t="n"/>
      <c r="X1" s="861" t="n"/>
    </row>
    <row r="2" ht="31" customHeight="1" s="254">
      <c r="A2" s="792" t="inlineStr">
        <is>
          <t>Distances and materials. This tab drives the largest single cost in the project — and it is built for you: the chargers are listed from the Equipment tab, you type the distances.</t>
        </is>
      </c>
      <c r="I2" s="804" t="n"/>
      <c r="J2" s="804" t="n"/>
      <c r="K2" s="804" t="n"/>
      <c r="L2" s="804" t="n"/>
      <c r="M2" s="804" t="n"/>
      <c r="N2" s="804" t="n"/>
      <c r="O2" s="804" t="n"/>
      <c r="P2" s="804" t="n"/>
      <c r="Q2" s="804" t="n"/>
      <c r="R2" s="804" t="n"/>
      <c r="S2" s="804" t="n"/>
      <c r="T2" s="804" t="n"/>
      <c r="U2" s="804" t="n"/>
      <c r="V2" s="804" t="n"/>
      <c r="W2" s="804" t="n"/>
      <c r="X2" s="804" t="n"/>
    </row>
    <row r="3" ht="43.5" customHeight="1" s="254">
      <c r="A3" s="814"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t>
        </is>
      </c>
      <c r="U3" s="804" t="n"/>
      <c r="V3" s="804" t="n"/>
      <c r="W3" s="804" t="n"/>
      <c r="X3" s="804" t="n"/>
    </row>
    <row r="4" ht="16" customHeight="1" s="254">
      <c r="A4" s="811" t="n"/>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c r="W4" s="804" t="n"/>
      <c r="X4" s="804" t="n"/>
    </row>
    <row r="5" ht="19.75" customHeight="1" s="254">
      <c r="A5" s="798" t="inlineStr">
        <is>
          <t>A · SIZING BASIS — materials and the conductor design</t>
        </is>
      </c>
      <c r="I5" s="804" t="n"/>
      <c r="J5" s="804" t="n"/>
      <c r="K5" s="804" t="n"/>
      <c r="L5" s="804" t="n"/>
      <c r="M5" s="804" t="n"/>
      <c r="N5" s="804" t="n"/>
      <c r="O5" s="804" t="n"/>
      <c r="P5" s="804" t="n"/>
      <c r="Q5" s="804" t="n"/>
      <c r="R5" s="804" t="n"/>
      <c r="S5" s="804" t="n"/>
      <c r="T5" s="804" t="n"/>
      <c r="U5" s="804" t="n"/>
      <c r="V5" s="804" t="n"/>
      <c r="W5" s="804" t="n"/>
      <c r="X5" s="804" t="n"/>
    </row>
    <row r="6" ht="16" customHeight="1" s="254">
      <c r="A6" s="781" t="inlineStr">
        <is>
          <t>Feeder conductor material</t>
        </is>
      </c>
      <c r="B6" s="799" t="inlineStr">
        <is>
          <t>Cu</t>
        </is>
      </c>
      <c r="C6" s="814" t="inlineStr">
        <is>
          <t>Cu or Al</t>
        </is>
      </c>
      <c r="I6" s="804" t="n"/>
      <c r="J6" s="804" t="n"/>
      <c r="K6" s="804" t="n"/>
      <c r="L6" s="804" t="n"/>
      <c r="M6" s="804" t="n"/>
      <c r="N6" s="804" t="n"/>
      <c r="O6" s="804" t="n"/>
      <c r="P6" s="804" t="n"/>
      <c r="Q6" s="804" t="n"/>
      <c r="R6" s="804" t="n"/>
      <c r="S6" s="804" t="n"/>
      <c r="T6" s="804" t="n"/>
      <c r="U6" s="804" t="n"/>
      <c r="V6" s="804" t="n"/>
      <c r="W6" s="804" t="n"/>
      <c r="X6" s="804" t="n"/>
    </row>
    <row r="7" ht="16" customHeight="1" s="254">
      <c r="A7" s="781" t="inlineStr">
        <is>
          <t>Conduit type</t>
        </is>
      </c>
      <c r="B7" s="799" t="inlineStr">
        <is>
          <t>PVC</t>
        </is>
      </c>
      <c r="C7" s="814" t="inlineStr">
        <is>
          <t>PVC or EMT</t>
        </is>
      </c>
      <c r="I7" s="804" t="n"/>
      <c r="J7" s="804" t="n"/>
      <c r="K7" s="804" t="n"/>
      <c r="L7" s="804" t="n"/>
      <c r="M7" s="804" t="n"/>
      <c r="N7" s="804" t="n"/>
      <c r="O7" s="804" t="n"/>
      <c r="P7" s="804" t="n"/>
      <c r="Q7" s="804" t="n"/>
      <c r="R7" s="804" t="n"/>
      <c r="S7" s="804" t="n"/>
      <c r="T7" s="804" t="n"/>
      <c r="U7" s="804" t="n"/>
      <c r="V7" s="804" t="n"/>
      <c r="W7" s="804" t="n"/>
      <c r="X7" s="804" t="n"/>
    </row>
    <row r="8" ht="16" customHeight="1" s="254">
      <c r="A8" s="781" t="inlineStr">
        <is>
          <t>Trench surface</t>
        </is>
      </c>
      <c r="B8" s="799" t="inlineStr">
        <is>
          <t>Asphalt</t>
        </is>
      </c>
      <c r="C8" s="814" t="inlineStr">
        <is>
          <t>Asphalt / concrete / landscape / mixed</t>
        </is>
      </c>
      <c r="I8" s="804" t="n"/>
      <c r="J8" s="804" t="n"/>
      <c r="K8" s="804" t="n"/>
      <c r="L8" s="804" t="n"/>
      <c r="M8" s="804" t="n"/>
      <c r="N8" s="804" t="n"/>
      <c r="O8" s="804" t="n"/>
      <c r="P8" s="804" t="n"/>
      <c r="Q8" s="804" t="n"/>
      <c r="R8" s="804" t="n"/>
      <c r="S8" s="804" t="n"/>
      <c r="T8" s="804" t="n"/>
      <c r="U8" s="804" t="n"/>
      <c r="V8" s="804" t="n"/>
      <c r="W8" s="804" t="n"/>
      <c r="X8" s="804" t="n"/>
    </row>
    <row r="9" ht="31" customHeight="1" s="254">
      <c r="A9" s="781" t="inlineStr">
        <is>
          <t>Trench depth (in)</t>
        </is>
      </c>
      <c r="B9" s="818" t="n">
        <v>24</v>
      </c>
      <c r="C9" s="814" t="inlineStr">
        <is>
          <t>Sets the trench width used for the restoration figure (width = depth / 12 in feet).</t>
        </is>
      </c>
      <c r="I9" s="804" t="n"/>
      <c r="J9" s="804" t="n"/>
      <c r="K9" s="804" t="n"/>
      <c r="L9" s="804" t="n"/>
      <c r="M9" s="804" t="n"/>
      <c r="N9" s="804" t="n"/>
      <c r="O9" s="804" t="n"/>
      <c r="P9" s="804" t="n"/>
      <c r="Q9" s="804" t="n"/>
      <c r="R9" s="804" t="n"/>
      <c r="S9" s="804" t="n"/>
      <c r="T9" s="804" t="n"/>
      <c r="U9" s="804" t="n"/>
      <c r="V9" s="804" t="n"/>
      <c r="W9" s="804" t="n"/>
      <c r="X9" s="804" t="n"/>
    </row>
    <row r="10" ht="56" customHeight="1" s="254">
      <c r="A10" s="781" t="inlineStr">
        <is>
          <t>Design ambient (C)</t>
        </is>
      </c>
      <c r="B10" s="818" t="n">
        <v>40</v>
      </c>
      <c r="C10" s="814" t="inlineStr">
        <is>
          <t>SITE DATA, no house default: the ASHRAE 2% design dry-bulb for the location, or the duct-bank temperature if the runs are buried. NEC 310.15(B)(1) corrects every ampacity on this tab from it — leave it blank and every verdict says so.</t>
        </is>
      </c>
      <c r="I10" s="804" t="n"/>
      <c r="J10" s="804" t="n"/>
      <c r="K10" s="804" t="n"/>
      <c r="L10" s="804" t="n"/>
      <c r="M10" s="804" t="n"/>
      <c r="N10" s="804" t="n"/>
      <c r="O10" s="804" t="n"/>
      <c r="P10" s="804" t="n"/>
      <c r="Q10" s="804" t="n"/>
      <c r="R10" s="804" t="n"/>
      <c r="S10" s="804" t="n"/>
      <c r="T10" s="804" t="n"/>
      <c r="U10" s="804" t="n"/>
      <c r="V10" s="804" t="n"/>
      <c r="W10" s="804" t="n"/>
      <c r="X10" s="804" t="n"/>
    </row>
    <row r="11" ht="31" customHeight="1" s="254">
      <c r="A11" s="781" t="inlineStr">
        <is>
          <t>Conductor insulation rating (C)</t>
        </is>
      </c>
      <c r="B11" s="818" t="n">
        <v>90</v>
      </c>
      <c r="C11" s="814" t="inlineStr">
        <is>
          <t>What the wire is rated for. THHN/XHHW-2 is 90 C. The ambient correction is applied to this column.</t>
        </is>
      </c>
      <c r="I11" s="804" t="n"/>
      <c r="J11" s="804" t="n"/>
      <c r="K11" s="804" t="n"/>
      <c r="L11" s="804" t="n"/>
      <c r="M11" s="804" t="n"/>
      <c r="N11" s="804" t="n"/>
      <c r="O11" s="804" t="n"/>
      <c r="P11" s="804" t="n"/>
      <c r="Q11" s="804" t="n"/>
      <c r="R11" s="804" t="n"/>
      <c r="S11" s="804" t="n"/>
      <c r="T11" s="804" t="n"/>
      <c r="U11" s="804" t="n"/>
      <c r="V11" s="804" t="n"/>
      <c r="W11" s="804" t="n"/>
      <c r="X11" s="804" t="n"/>
    </row>
    <row r="12" ht="31" customHeight="1" s="254">
      <c r="A12" s="781" t="inlineStr">
        <is>
          <t>Termination rating (C)</t>
        </is>
      </c>
      <c r="B12" s="818" t="n">
        <v>75</v>
      </c>
      <c r="C12" s="814" t="inlineStr">
        <is>
          <t>NEC 110.14(C). The corrected ampacity is capped here. 60 C lugs on the gear or the charger change every size on this tab.</t>
        </is>
      </c>
      <c r="I12" s="804" t="n"/>
      <c r="J12" s="804" t="n"/>
      <c r="K12" s="804" t="n"/>
      <c r="L12" s="804" t="n"/>
      <c r="M12" s="804" t="n"/>
      <c r="N12" s="804" t="n"/>
      <c r="O12" s="804" t="n"/>
      <c r="P12" s="804" t="n"/>
      <c r="Q12" s="804" t="n"/>
      <c r="R12" s="804" t="n"/>
      <c r="S12" s="804" t="n"/>
      <c r="T12" s="804" t="n"/>
      <c r="U12" s="804" t="n"/>
      <c r="V12" s="804" t="n"/>
      <c r="W12" s="804" t="n"/>
      <c r="X12" s="804" t="n"/>
    </row>
    <row r="13" ht="43.5" customHeight="1" s="254">
      <c r="A13" s="781" t="inlineStr">
        <is>
          <t>Allowable voltage drop (%)</t>
        </is>
      </c>
      <c r="B13" s="839" t="n">
        <v>0.03</v>
      </c>
      <c r="C13" s="814" t="inlineStr">
        <is>
          <t>NEC treats voltage drop as an informational note, not a requirement. On a long run it is usually what decides the size, and the auto-sizing honours it.</t>
        </is>
      </c>
      <c r="I13" s="804" t="n"/>
      <c r="J13" s="804" t="n"/>
      <c r="K13" s="804" t="n"/>
      <c r="L13" s="804" t="n"/>
      <c r="M13" s="804" t="n"/>
      <c r="N13" s="804" t="n"/>
      <c r="O13" s="804" t="n"/>
      <c r="P13" s="804" t="n"/>
      <c r="Q13" s="804" t="n"/>
      <c r="R13" s="804" t="n"/>
      <c r="S13" s="804" t="n"/>
      <c r="T13" s="804" t="n"/>
      <c r="U13" s="804" t="n"/>
      <c r="V13" s="804" t="n"/>
      <c r="W13" s="804" t="n"/>
      <c r="X13" s="804" t="n"/>
    </row>
    <row r="14" ht="16" customHeight="1" s="254">
      <c r="A14" s="811" t="n"/>
      <c r="B14" s="804" t="n"/>
      <c r="C14" s="804" t="n"/>
      <c r="D14" s="804" t="n"/>
      <c r="E14" s="804" t="n"/>
      <c r="F14" s="804" t="n"/>
      <c r="G14" s="804" t="n"/>
      <c r="H14" s="804" t="n"/>
      <c r="I14" s="804" t="n"/>
      <c r="J14" s="804" t="n"/>
      <c r="K14" s="804" t="n"/>
      <c r="L14" s="804" t="n"/>
      <c r="M14" s="804" t="n"/>
      <c r="N14" s="804" t="n"/>
      <c r="O14" s="804" t="n"/>
      <c r="P14" s="804" t="n"/>
      <c r="Q14" s="804" t="n"/>
      <c r="R14" s="804" t="n"/>
      <c r="S14" s="804" t="n"/>
      <c r="T14" s="804" t="n"/>
      <c r="U14" s="804" t="n"/>
      <c r="V14" s="804" t="n"/>
      <c r="W14" s="804" t="n"/>
      <c r="X14" s="804" t="n"/>
    </row>
    <row r="15" ht="19.75" customHeight="1" s="254">
      <c r="A15" s="798" t="inlineStr">
        <is>
          <t>B · CHARGER RUNS — switchgear or panel to every charger, built from the Equipment tab</t>
        </is>
      </c>
      <c r="I15" s="804" t="n"/>
      <c r="J15" s="804" t="n"/>
      <c r="K15" s="804" t="n"/>
      <c r="L15" s="804" t="n"/>
      <c r="M15" s="804" t="n"/>
      <c r="N15" s="804" t="n"/>
      <c r="O15" s="804" t="n"/>
      <c r="P15" s="804" t="n"/>
      <c r="Q15" s="804" t="n"/>
      <c r="R15" s="804" t="n"/>
      <c r="S15" s="804" t="n"/>
      <c r="T15" s="804" t="n"/>
      <c r="U15" s="804" t="n"/>
      <c r="V15" s="804" t="n"/>
      <c r="W15" s="804" t="n"/>
      <c r="X15" s="804" t="n"/>
    </row>
    <row r="16" ht="43.5" customHeight="1" s="254">
      <c r="A16" s="814" t="inlineStr">
        <is>
          <t>One row per charger unit — a standalone DC charger, a power cabinet or a Level 2 unit — listed in the order of the Equipment tab.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t>
        </is>
      </c>
      <c r="U16" s="804" t="n"/>
      <c r="V16" s="804" t="n"/>
      <c r="W16" s="804" t="n"/>
      <c r="X16" s="804" t="n"/>
    </row>
    <row r="17" ht="56" customHeight="1" s="254">
      <c r="A17" s="806" t="inlineStr">
        <is>
          <t>Charger (auto)</t>
        </is>
      </c>
      <c r="B17" s="806" t="inlineStr">
        <is>
          <t>Equipment (auto)</t>
        </is>
      </c>
      <c r="C17" s="806" t="inlineStr">
        <is>
          <t>Supply (auto)</t>
        </is>
      </c>
      <c r="D17" s="806" t="inlineStr">
        <is>
          <t>kW (auto)</t>
        </is>
      </c>
      <c r="E17" s="806" t="inlineStr">
        <is>
          <t>Circuit (blank = own; same name = shared)</t>
        </is>
      </c>
      <c r="F17" s="806" t="inlineStr">
        <is>
          <t>Distance (ft)</t>
        </is>
      </c>
      <c r="G17" s="806" t="inlineStr">
        <is>
          <t>Shares a trench? (Yes)</t>
        </is>
      </c>
      <c r="H17" s="806" t="inlineStr">
        <is>
          <t>Design A (auto)</t>
        </is>
      </c>
      <c r="I17" s="806" t="inlineStr">
        <is>
          <t>125% A (auto)</t>
        </is>
      </c>
      <c r="J17" s="806" t="inlineStr">
        <is>
          <t>Breaker A (auto)</t>
        </is>
      </c>
      <c r="K17" s="806" t="inlineStr">
        <is>
          <t>Conductor (auto)</t>
        </is>
      </c>
      <c r="L17" s="806" t="inlineStr">
        <is>
          <t>Conductor override</t>
        </is>
      </c>
      <c r="M17" s="806" t="inlineStr">
        <is>
          <t>Sets (blank = auto)</t>
        </is>
      </c>
      <c r="N17" s="806" t="inlineStr">
        <is>
          <t>Ampacity A (auto)</t>
        </is>
      </c>
      <c r="O17" s="806" t="inlineStr">
        <is>
          <t>Volt drop (auto)</t>
        </is>
      </c>
      <c r="P17" s="806" t="inlineStr">
        <is>
          <t>Ground (auto)</t>
        </is>
      </c>
      <c r="Q17" s="806" t="inlineStr">
        <is>
          <t>Conduit (auto)</t>
        </is>
      </c>
      <c r="R17" s="806" t="inlineStr">
        <is>
          <t>Conduit override</t>
        </is>
      </c>
      <c r="S17" s="806" t="inlineStr">
        <is>
          <t>Material $ (auto)</t>
        </is>
      </c>
      <c r="T17" s="806" t="inlineStr">
        <is>
          <t>Verdict (auto)</t>
        </is>
      </c>
      <c r="U17" s="806" t="inlineStr">
        <is>
          <t>Needs dist. (auto)</t>
        </is>
      </c>
      <c r="V17" s="806" t="inlineStr">
        <is>
          <t>Stream (auto)</t>
        </is>
      </c>
      <c r="W17" s="806" t="inlineStr">
        <is>
          <t>Line (auto)</t>
        </is>
      </c>
      <c r="X17" s="806" t="inlineStr">
        <is>
          <t>Sets in force (auto)</t>
        </is>
      </c>
    </row>
    <row r="18" ht="16" customHeight="1" s="254">
      <c r="A18" s="862">
        <f>IF($W18="","","Charger 1")</f>
        <v/>
      </c>
      <c r="B18" s="863">
        <f>IF($W18="","","Line "&amp;$W18&amp;" · "&amp;INDEX(Equipment!$C$7:$C$18,$W18)&amp;" · "&amp;INDEX(Equipment!$B$7:$B$18,$W18)&amp;" · #"&amp;(1-INDEX(Equipment!$R$7:$R$18,$W18)+1)&amp;" of "&amp;INDEX(Equipment!$I$7:$I$18,$W18))</f>
        <v/>
      </c>
      <c r="C18" s="863">
        <f>IF($W18="","",IF($V18="L2",TEXT(N(Equipment!$B$30),"0")&amp;" V 1-ph",TEXT(Project!$B$29,"0")&amp;" V 3-ph"))</f>
        <v/>
      </c>
      <c r="D18" s="864">
        <f>IF($W18="","",INDEX(Equipment!$G$7:$G$18,$W18))</f>
        <v/>
      </c>
      <c r="E18" s="807" t="n"/>
      <c r="F18" s="831" t="n">
        <v>80</v>
      </c>
      <c r="G18" s="807" t="n"/>
      <c r="H18" s="865">
        <f>IF($U18&lt;&gt;1,"",IF($E18="",N($D18),SUMIF($E$18:$E$77,$E18,$D$18:$D$77))*1000/(IF($V18="L2",N(Equipment!$B$30),Project!$B$29)*IF($V18="L2",1,SQRT(3))))</f>
        <v/>
      </c>
      <c r="I18" s="865">
        <f>IF(N($H18)=0,"",N($H18)*1.25)</f>
        <v/>
      </c>
      <c r="J18" s="865">
        <f>IF(N($I18)=0,"",IF(ISNUMBER(MATCH($I18,OCPD_LIST,0)),$I18,IF($I18&gt;MAX(OCPD_LIST),"ABOVE LIST",INDEX(OCPD_LIST,MATCH($I18,OCPD_LIST,1)+1))))</f>
        <v/>
      </c>
      <c r="K18" s="863">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807" t="inlineStr">
        <is>
          <t>300 KCMIL</t>
        </is>
      </c>
      <c r="M18" s="831" t="n">
        <v>2</v>
      </c>
      <c r="N18" s="865">
        <f>IF(OR(IF($L18&lt;&gt;"",$L18,$K18)="",IF($L18&lt;&gt;"",$L18,$K18)="PARALLEL SETS"),"",IFERROR(INDEX(SZ_AMP,MATCH(IF($L18&lt;&gt;"",$L18,$K18),SZ_SIZE,0))*IF(N($M18)&gt;0,N($M18),MAX(1,N(IFERROR(INDEX(SPEC_CIRC,MATCH(INDEX(Equipment!$C$7:$C$18,MAX(1,N($W18))),SPEC_SKU,0)),1)))),""))</f>
        <v/>
      </c>
      <c r="O18" s="866">
        <f>IF(OR(N($N18)=0,N($F18)=0),"",IFERROR(IF($V18="L2",2,SQRT(3))*N($H18)/IF(N($M18)&gt;0,N($M18),MAX(1,N(IFERROR(INDEX(SPEC_CIRC,MATCH(INDEX(Equipment!$C$7:$C$18,MAX(1,N($W18))),SPEC_SKU,0)),1))))*N($F18)*INDEX(SZ_Z,MATCH(IF($L18&lt;&gt;"",$L18,$K18),SZ_SIZE,0))/1000/IF($V18="L2",N(Equipment!$B$30),Project!$B$29),""))</f>
        <v/>
      </c>
      <c r="P18" s="863">
        <f>IF(N($J18)=0,"",IFERROR(INDEX(IF($B$6="Cu",EGC_CU,EGC_AL),MATCH($J18,EGC_OCPD,1)+IF(ISNUMBER(MATCH($J18,EGC_OCPD,0)),0,1)),""))</f>
        <v/>
      </c>
      <c r="Q18" s="863">
        <f>IF(N($N18)=0,"",IFERROR(INDEX(IF($V18="L2",CND_2G,CND_3G),MATCH(IF($L18&lt;&gt;"",$L18,$K18),CND_SIZE,0)),""))</f>
        <v/>
      </c>
      <c r="R18" s="807" t="inlineStr">
        <is>
          <t xml:space="preserve">(3") </t>
        </is>
      </c>
      <c r="S18" s="867">
        <f>IF(OR(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863">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868">
        <f>IF($W18="",0,IF($E18="",1,IF(MATCH($E18,$E$18:$E$77,0)=1,1,0)))</f>
        <v/>
      </c>
      <c r="V18" s="869">
        <f>IF($W18="","",IF(INDEX(Equipment!$E$7:$E$18,$W18)="level_2","L2",IF(INDEX(Equipment!$E$7:$E$18,$W18)="power_cabinet","CAB","DC")))</f>
        <v/>
      </c>
      <c r="W18" s="868">
        <f>IF(N($B$80)&gt;=1,COUNTIF(Equipment!$S$7:$S$18,"&lt;1")+1,"")</f>
        <v/>
      </c>
      <c r="X18" s="868">
        <f>IF($U18&lt;&gt;1,"",IF(N($M18)&gt;0,N($M18),MAX(1,N(IFERROR(INDEX(SPEC_CIRC,MATCH(INDEX(Equipment!$C$7:$C$18,MAX(1,N($W18))),SPEC_SKU,0)),1)))))</f>
        <v/>
      </c>
    </row>
    <row r="19" ht="16" customHeight="1" s="254">
      <c r="A19" s="862">
        <f>IF($W19="","","Charger 2")</f>
        <v/>
      </c>
      <c r="B19" s="863">
        <f>IF($W19="","","Line "&amp;$W19&amp;" · "&amp;INDEX(Equipment!$C$7:$C$18,$W19)&amp;" · "&amp;INDEX(Equipment!$B$7:$B$18,$W19)&amp;" · #"&amp;(2-INDEX(Equipment!$R$7:$R$18,$W19)+1)&amp;" of "&amp;INDEX(Equipment!$I$7:$I$18,$W19))</f>
        <v/>
      </c>
      <c r="C19" s="863">
        <f>IF($W19="","",IF($V19="L2",TEXT(N(Equipment!$B$30),"0")&amp;" V 1-ph",TEXT(Project!$B$29,"0")&amp;" V 3-ph"))</f>
        <v/>
      </c>
      <c r="D19" s="864">
        <f>IF($W19="","",INDEX(Equipment!$G$7:$G$18,$W19))</f>
        <v/>
      </c>
      <c r="E19" s="807" t="n"/>
      <c r="F19" s="831" t="n">
        <v>95</v>
      </c>
      <c r="G19" s="807" t="n"/>
      <c r="H19" s="865">
        <f>IF($U19&lt;&gt;1,"",IF($E19="",N($D19),SUMIF($E$18:$E$77,$E19,$D$18:$D$77))*1000/(IF($V19="L2",N(Equipment!$B$30),Project!$B$29)*IF($V19="L2",1,SQRT(3))))</f>
        <v/>
      </c>
      <c r="I19" s="865">
        <f>IF(N($H19)=0,"",N($H19)*1.25)</f>
        <v/>
      </c>
      <c r="J19" s="865">
        <f>IF(N($I19)=0,"",IF(ISNUMBER(MATCH($I19,OCPD_LIST,0)),$I19,IF($I19&gt;MAX(OCPD_LIST),"ABOVE LIST",INDEX(OCPD_LIST,MATCH($I19,OCPD_LIST,1)+1))))</f>
        <v/>
      </c>
      <c r="K19" s="863">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807" t="inlineStr">
        <is>
          <t>300 KCMIL</t>
        </is>
      </c>
      <c r="M19" s="831" t="n">
        <v>2</v>
      </c>
      <c r="N19" s="865">
        <f>IF(OR(IF($L19&lt;&gt;"",$L19,$K19)="",IF($L19&lt;&gt;"",$L19,$K19)="PARALLEL SETS"),"",IFERROR(INDEX(SZ_AMP,MATCH(IF($L19&lt;&gt;"",$L19,$K19),SZ_SIZE,0))*IF(N($M19)&gt;0,N($M19),MAX(1,N(IFERROR(INDEX(SPEC_CIRC,MATCH(INDEX(Equipment!$C$7:$C$18,MAX(1,N($W19))),SPEC_SKU,0)),1)))),""))</f>
        <v/>
      </c>
      <c r="O19" s="866">
        <f>IF(OR(N($N19)=0,N($F19)=0),"",IFERROR(IF($V19="L2",2,SQRT(3))*N($H19)/IF(N($M19)&gt;0,N($M19),MAX(1,N(IFERROR(INDEX(SPEC_CIRC,MATCH(INDEX(Equipment!$C$7:$C$18,MAX(1,N($W19))),SPEC_SKU,0)),1))))*N($F19)*INDEX(SZ_Z,MATCH(IF($L19&lt;&gt;"",$L19,$K19),SZ_SIZE,0))/1000/IF($V19="L2",N(Equipment!$B$30),Project!$B$29),""))</f>
        <v/>
      </c>
      <c r="P19" s="863">
        <f>IF(N($J19)=0,"",IFERROR(INDEX(IF($B$6="Cu",EGC_CU,EGC_AL),MATCH($J19,EGC_OCPD,1)+IF(ISNUMBER(MATCH($J19,EGC_OCPD,0)),0,1)),""))</f>
        <v/>
      </c>
      <c r="Q19" s="863">
        <f>IF(N($N19)=0,"",IFERROR(INDEX(IF($V19="L2",CND_2G,CND_3G),MATCH(IF($L19&lt;&gt;"",$L19,$K19),CND_SIZE,0)),""))</f>
        <v/>
      </c>
      <c r="R19" s="807" t="inlineStr">
        <is>
          <t xml:space="preserve">(3") </t>
        </is>
      </c>
      <c r="S19" s="867">
        <f>IF(OR(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863">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868">
        <f>IF($W19="",0,IF($E19="",1,IF(MATCH($E19,$E$18:$E$77,0)=2,1,0)))</f>
        <v/>
      </c>
      <c r="V19" s="869">
        <f>IF($W19="","",IF(INDEX(Equipment!$E$7:$E$18,$W19)="level_2","L2",IF(INDEX(Equipment!$E$7:$E$18,$W19)="power_cabinet","CAB","DC")))</f>
        <v/>
      </c>
      <c r="W19" s="868">
        <f>IF(N($B$80)&gt;=2,COUNTIF(Equipment!$S$7:$S$18,"&lt;2")+1,"")</f>
        <v/>
      </c>
      <c r="X19" s="868">
        <f>IF($U19&lt;&gt;1,"",IF(N($M19)&gt;0,N($M19),MAX(1,N(IFERROR(INDEX(SPEC_CIRC,MATCH(INDEX(Equipment!$C$7:$C$18,MAX(1,N($W19))),SPEC_SKU,0)),1)))))</f>
        <v/>
      </c>
    </row>
    <row r="20" ht="16" customHeight="1" s="254">
      <c r="A20" s="862">
        <f>IF($W20="","","Charger 3")</f>
        <v/>
      </c>
      <c r="B20" s="863">
        <f>IF($W20="","","Line "&amp;$W20&amp;" · "&amp;INDEX(Equipment!$C$7:$C$18,$W20)&amp;" · "&amp;INDEX(Equipment!$B$7:$B$18,$W20)&amp;" · #"&amp;(3-INDEX(Equipment!$R$7:$R$18,$W20)+1)&amp;" of "&amp;INDEX(Equipment!$I$7:$I$18,$W20))</f>
        <v/>
      </c>
      <c r="C20" s="863">
        <f>IF($W20="","",IF($V20="L2",TEXT(N(Equipment!$B$30),"0")&amp;" V 1-ph",TEXT(Project!$B$29,"0")&amp;" V 3-ph"))</f>
        <v/>
      </c>
      <c r="D20" s="864">
        <f>IF($W20="","",INDEX(Equipment!$G$7:$G$18,$W20))</f>
        <v/>
      </c>
      <c r="E20" s="807" t="n"/>
      <c r="F20" s="831" t="n">
        <v>110</v>
      </c>
      <c r="G20" s="807" t="n"/>
      <c r="H20" s="865">
        <f>IF($U20&lt;&gt;1,"",IF($E20="",N($D20),SUMIF($E$18:$E$77,$E20,$D$18:$D$77))*1000/(IF($V20="L2",N(Equipment!$B$30),Project!$B$29)*IF($V20="L2",1,SQRT(3))))</f>
        <v/>
      </c>
      <c r="I20" s="865">
        <f>IF(N($H20)=0,"",N($H20)*1.25)</f>
        <v/>
      </c>
      <c r="J20" s="865">
        <f>IF(N($I20)=0,"",IF(ISNUMBER(MATCH($I20,OCPD_LIST,0)),$I20,IF($I20&gt;MAX(OCPD_LIST),"ABOVE LIST",INDEX(OCPD_LIST,MATCH($I20,OCPD_LIST,1)+1))))</f>
        <v/>
      </c>
      <c r="K20" s="863">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807" t="inlineStr">
        <is>
          <t>300 KCMIL</t>
        </is>
      </c>
      <c r="M20" s="831" t="n">
        <v>2</v>
      </c>
      <c r="N20" s="865">
        <f>IF(OR(IF($L20&lt;&gt;"",$L20,$K20)="",IF($L20&lt;&gt;"",$L20,$K20)="PARALLEL SETS"),"",IFERROR(INDEX(SZ_AMP,MATCH(IF($L20&lt;&gt;"",$L20,$K20),SZ_SIZE,0))*IF(N($M20)&gt;0,N($M20),MAX(1,N(IFERROR(INDEX(SPEC_CIRC,MATCH(INDEX(Equipment!$C$7:$C$18,MAX(1,N($W20))),SPEC_SKU,0)),1)))),""))</f>
        <v/>
      </c>
      <c r="O20" s="866">
        <f>IF(OR(N($N20)=0,N($F20)=0),"",IFERROR(IF($V20="L2",2,SQRT(3))*N($H20)/IF(N($M20)&gt;0,N($M20),MAX(1,N(IFERROR(INDEX(SPEC_CIRC,MATCH(INDEX(Equipment!$C$7:$C$18,MAX(1,N($W20))),SPEC_SKU,0)),1))))*N($F20)*INDEX(SZ_Z,MATCH(IF($L20&lt;&gt;"",$L20,$K20),SZ_SIZE,0))/1000/IF($V20="L2",N(Equipment!$B$30),Project!$B$29),""))</f>
        <v/>
      </c>
      <c r="P20" s="863">
        <f>IF(N($J20)=0,"",IFERROR(INDEX(IF($B$6="Cu",EGC_CU,EGC_AL),MATCH($J20,EGC_OCPD,1)+IF(ISNUMBER(MATCH($J20,EGC_OCPD,0)),0,1)),""))</f>
        <v/>
      </c>
      <c r="Q20" s="863">
        <f>IF(N($N20)=0,"",IFERROR(INDEX(IF($V20="L2",CND_2G,CND_3G),MATCH(IF($L20&lt;&gt;"",$L20,$K20),CND_SIZE,0)),""))</f>
        <v/>
      </c>
      <c r="R20" s="807" t="inlineStr">
        <is>
          <t xml:space="preserve">(3") </t>
        </is>
      </c>
      <c r="S20" s="867">
        <f>IF(OR(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863">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868">
        <f>IF($W20="",0,IF($E20="",1,IF(MATCH($E20,$E$18:$E$77,0)=3,1,0)))</f>
        <v/>
      </c>
      <c r="V20" s="869">
        <f>IF($W20="","",IF(INDEX(Equipment!$E$7:$E$18,$W20)="level_2","L2",IF(INDEX(Equipment!$E$7:$E$18,$W20)="power_cabinet","CAB","DC")))</f>
        <v/>
      </c>
      <c r="W20" s="868">
        <f>IF(N($B$80)&gt;=3,COUNTIF(Equipment!$S$7:$S$18,"&lt;3")+1,"")</f>
        <v/>
      </c>
      <c r="X20" s="868">
        <f>IF($U20&lt;&gt;1,"",IF(N($M20)&gt;0,N($M20),MAX(1,N(IFERROR(INDEX(SPEC_CIRC,MATCH(INDEX(Equipment!$C$7:$C$18,MAX(1,N($W20))),SPEC_SKU,0)),1)))))</f>
        <v/>
      </c>
    </row>
    <row r="21" ht="16" customHeight="1" s="254">
      <c r="A21" s="862">
        <f>IF($W21="","","Charger 4")</f>
        <v/>
      </c>
      <c r="B21" s="863">
        <f>IF($W21="","","Line "&amp;$W21&amp;" · "&amp;INDEX(Equipment!$C$7:$C$18,$W21)&amp;" · "&amp;INDEX(Equipment!$B$7:$B$18,$W21)&amp;" · #"&amp;(4-INDEX(Equipment!$R$7:$R$18,$W21)+1)&amp;" of "&amp;INDEX(Equipment!$I$7:$I$18,$W21))</f>
        <v/>
      </c>
      <c r="C21" s="863">
        <f>IF($W21="","",IF($V21="L2",TEXT(N(Equipment!$B$30),"0")&amp;" V 1-ph",TEXT(Project!$B$29,"0")&amp;" V 3-ph"))</f>
        <v/>
      </c>
      <c r="D21" s="864">
        <f>IF($W21="","",INDEX(Equipment!$G$7:$G$18,$W21))</f>
        <v/>
      </c>
      <c r="E21" s="807" t="n"/>
      <c r="F21" s="831" t="n">
        <v>125</v>
      </c>
      <c r="G21" s="807" t="n"/>
      <c r="H21" s="865">
        <f>IF($U21&lt;&gt;1,"",IF($E21="",N($D21),SUMIF($E$18:$E$77,$E21,$D$18:$D$77))*1000/(IF($V21="L2",N(Equipment!$B$30),Project!$B$29)*IF($V21="L2",1,SQRT(3))))</f>
        <v/>
      </c>
      <c r="I21" s="865">
        <f>IF(N($H21)=0,"",N($H21)*1.25)</f>
        <v/>
      </c>
      <c r="J21" s="865">
        <f>IF(N($I21)=0,"",IF(ISNUMBER(MATCH($I21,OCPD_LIST,0)),$I21,IF($I21&gt;MAX(OCPD_LIST),"ABOVE LIST",INDEX(OCPD_LIST,MATCH($I21,OCPD_LIST,1)+1))))</f>
        <v/>
      </c>
      <c r="K21" s="863">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807" t="inlineStr">
        <is>
          <t>300 KCMIL</t>
        </is>
      </c>
      <c r="M21" s="831" t="n">
        <v>2</v>
      </c>
      <c r="N21" s="865">
        <f>IF(OR(IF($L21&lt;&gt;"",$L21,$K21)="",IF($L21&lt;&gt;"",$L21,$K21)="PARALLEL SETS"),"",IFERROR(INDEX(SZ_AMP,MATCH(IF($L21&lt;&gt;"",$L21,$K21),SZ_SIZE,0))*IF(N($M21)&gt;0,N($M21),MAX(1,N(IFERROR(INDEX(SPEC_CIRC,MATCH(INDEX(Equipment!$C$7:$C$18,MAX(1,N($W21))),SPEC_SKU,0)),1)))),""))</f>
        <v/>
      </c>
      <c r="O21" s="866">
        <f>IF(OR(N($N21)=0,N($F21)=0),"",IFERROR(IF($V21="L2",2,SQRT(3))*N($H21)/IF(N($M21)&gt;0,N($M21),MAX(1,N(IFERROR(INDEX(SPEC_CIRC,MATCH(INDEX(Equipment!$C$7:$C$18,MAX(1,N($W21))),SPEC_SKU,0)),1))))*N($F21)*INDEX(SZ_Z,MATCH(IF($L21&lt;&gt;"",$L21,$K21),SZ_SIZE,0))/1000/IF($V21="L2",N(Equipment!$B$30),Project!$B$29),""))</f>
        <v/>
      </c>
      <c r="P21" s="863">
        <f>IF(N($J21)=0,"",IFERROR(INDEX(IF($B$6="Cu",EGC_CU,EGC_AL),MATCH($J21,EGC_OCPD,1)+IF(ISNUMBER(MATCH($J21,EGC_OCPD,0)),0,1)),""))</f>
        <v/>
      </c>
      <c r="Q21" s="863">
        <f>IF(N($N21)=0,"",IFERROR(INDEX(IF($V21="L2",CND_2G,CND_3G),MATCH(IF($L21&lt;&gt;"",$L21,$K21),CND_SIZE,0)),""))</f>
        <v/>
      </c>
      <c r="R21" s="807" t="inlineStr">
        <is>
          <t xml:space="preserve">(3") </t>
        </is>
      </c>
      <c r="S21" s="867">
        <f>IF(OR(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863">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868">
        <f>IF($W21="",0,IF($E21="",1,IF(MATCH($E21,$E$18:$E$77,0)=4,1,0)))</f>
        <v/>
      </c>
      <c r="V21" s="869">
        <f>IF($W21="","",IF(INDEX(Equipment!$E$7:$E$18,$W21)="level_2","L2",IF(INDEX(Equipment!$E$7:$E$18,$W21)="power_cabinet","CAB","DC")))</f>
        <v/>
      </c>
      <c r="W21" s="868">
        <f>IF(N($B$80)&gt;=4,COUNTIF(Equipment!$S$7:$S$18,"&lt;4")+1,"")</f>
        <v/>
      </c>
      <c r="X21" s="868">
        <f>IF($U21&lt;&gt;1,"",IF(N($M21)&gt;0,N($M21),MAX(1,N(IFERROR(INDEX(SPEC_CIRC,MATCH(INDEX(Equipment!$C$7:$C$18,MAX(1,N($W21))),SPEC_SKU,0)),1)))))</f>
        <v/>
      </c>
    </row>
    <row r="22" ht="16" customHeight="1" s="254">
      <c r="A22" s="862">
        <f>IF($W22="","","Charger 5")</f>
        <v/>
      </c>
      <c r="B22" s="863">
        <f>IF($W22="","","Line "&amp;$W22&amp;" · "&amp;INDEX(Equipment!$C$7:$C$18,$W22)&amp;" · "&amp;INDEX(Equipment!$B$7:$B$18,$W22)&amp;" · #"&amp;(5-INDEX(Equipment!$R$7:$R$18,$W22)+1)&amp;" of "&amp;INDEX(Equipment!$I$7:$I$18,$W22))</f>
        <v/>
      </c>
      <c r="C22" s="863">
        <f>IF($W22="","",IF($V22="L2",TEXT(N(Equipment!$B$30),"0")&amp;" V 1-ph",TEXT(Project!$B$29,"0")&amp;" V 3-ph"))</f>
        <v/>
      </c>
      <c r="D22" s="864">
        <f>IF($W22="","",INDEX(Equipment!$G$7:$G$18,$W22))</f>
        <v/>
      </c>
      <c r="E22" s="807" t="n"/>
      <c r="F22" s="831" t="n">
        <v>60</v>
      </c>
      <c r="G22" s="807" t="n"/>
      <c r="H22" s="865">
        <f>IF($U22&lt;&gt;1,"",IF($E22="",N($D22),SUMIF($E$18:$E$77,$E22,$D$18:$D$77))*1000/(IF($V22="L2",N(Equipment!$B$30),Project!$B$29)*IF($V22="L2",1,SQRT(3))))</f>
        <v/>
      </c>
      <c r="I22" s="865">
        <f>IF(N($H22)=0,"",N($H22)*1.25)</f>
        <v/>
      </c>
      <c r="J22" s="865">
        <f>IF(N($I22)=0,"",IF(ISNUMBER(MATCH($I22,OCPD_LIST,0)),$I22,IF($I22&gt;MAX(OCPD_LIST),"ABOVE LIST",INDEX(OCPD_LIST,MATCH($I22,OCPD_LIST,1)+1))))</f>
        <v/>
      </c>
      <c r="K22" s="863">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807" t="inlineStr">
        <is>
          <t>8 AWG</t>
        </is>
      </c>
      <c r="M22" s="831" t="n">
        <v>2</v>
      </c>
      <c r="N22" s="865">
        <f>IF(OR(IF($L22&lt;&gt;"",$L22,$K22)="",IF($L22&lt;&gt;"",$L22,$K22)="PARALLEL SETS"),"",IFERROR(INDEX(SZ_AMP,MATCH(IF($L22&lt;&gt;"",$L22,$K22),SZ_SIZE,0))*IF(N($M22)&gt;0,N($M22),MAX(1,N(IFERROR(INDEX(SPEC_CIRC,MATCH(INDEX(Equipment!$C$7:$C$18,MAX(1,N($W22))),SPEC_SKU,0)),1)))),""))</f>
        <v/>
      </c>
      <c r="O22" s="866">
        <f>IF(OR(N($N22)=0,N($F22)=0),"",IFERROR(IF($V22="L2",2,SQRT(3))*N($H22)/IF(N($M22)&gt;0,N($M22),MAX(1,N(IFERROR(INDEX(SPEC_CIRC,MATCH(INDEX(Equipment!$C$7:$C$18,MAX(1,N($W22))),SPEC_SKU,0)),1))))*N($F22)*INDEX(SZ_Z,MATCH(IF($L22&lt;&gt;"",$L22,$K22),SZ_SIZE,0))/1000/IF($V22="L2",N(Equipment!$B$30),Project!$B$29),""))</f>
        <v/>
      </c>
      <c r="P22" s="863">
        <f>IF(N($J22)=0,"",IFERROR(INDEX(IF($B$6="Cu",EGC_CU,EGC_AL),MATCH($J22,EGC_OCPD,1)+IF(ISNUMBER(MATCH($J22,EGC_OCPD,0)),0,1)),""))</f>
        <v/>
      </c>
      <c r="Q22" s="863">
        <f>IF(N($N22)=0,"",IFERROR(INDEX(IF($V22="L2",CND_2G,CND_3G),MATCH(IF($L22&lt;&gt;"",$L22,$K22),CND_SIZE,0)),""))</f>
        <v/>
      </c>
      <c r="R22" s="807" t="n"/>
      <c r="S22" s="867">
        <f>IF(OR(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863">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868">
        <f>IF($W22="",0,IF($E22="",1,IF(MATCH($E22,$E$18:$E$77,0)=5,1,0)))</f>
        <v/>
      </c>
      <c r="V22" s="869">
        <f>IF($W22="","",IF(INDEX(Equipment!$E$7:$E$18,$W22)="level_2","L2",IF(INDEX(Equipment!$E$7:$E$18,$W22)="power_cabinet","CAB","DC")))</f>
        <v/>
      </c>
      <c r="W22" s="868">
        <f>IF(N($B$80)&gt;=5,COUNTIF(Equipment!$S$7:$S$18,"&lt;5")+1,"")</f>
        <v/>
      </c>
      <c r="X22" s="868">
        <f>IF($U22&lt;&gt;1,"",IF(N($M22)&gt;0,N($M22),MAX(1,N(IFERROR(INDEX(SPEC_CIRC,MATCH(INDEX(Equipment!$C$7:$C$18,MAX(1,N($W22))),SPEC_SKU,0)),1)))))</f>
        <v/>
      </c>
    </row>
    <row r="23" ht="16" customHeight="1" s="254">
      <c r="A23" s="862">
        <f>IF($W23="","","Charger 6")</f>
        <v/>
      </c>
      <c r="B23" s="863">
        <f>IF($W23="","","Line "&amp;$W23&amp;" · "&amp;INDEX(Equipment!$C$7:$C$18,$W23)&amp;" · "&amp;INDEX(Equipment!$B$7:$B$18,$W23)&amp;" · #"&amp;(6-INDEX(Equipment!$R$7:$R$18,$W23)+1)&amp;" of "&amp;INDEX(Equipment!$I$7:$I$18,$W23))</f>
        <v/>
      </c>
      <c r="C23" s="863">
        <f>IF($W23="","",IF($V23="L2",TEXT(N(Equipment!$B$30),"0")&amp;" V 1-ph",TEXT(Project!$B$29,"0")&amp;" V 3-ph"))</f>
        <v/>
      </c>
      <c r="D23" s="864">
        <f>IF($W23="","",INDEX(Equipment!$G$7:$G$18,$W23))</f>
        <v/>
      </c>
      <c r="E23" s="807" t="n"/>
      <c r="F23" s="831" t="n">
        <v>75</v>
      </c>
      <c r="G23" s="807" t="n"/>
      <c r="H23" s="865">
        <f>IF($U23&lt;&gt;1,"",IF($E23="",N($D23),SUMIF($E$18:$E$77,$E23,$D$18:$D$77))*1000/(IF($V23="L2",N(Equipment!$B$30),Project!$B$29)*IF($V23="L2",1,SQRT(3))))</f>
        <v/>
      </c>
      <c r="I23" s="865">
        <f>IF(N($H23)=0,"",N($H23)*1.25)</f>
        <v/>
      </c>
      <c r="J23" s="865">
        <f>IF(N($I23)=0,"",IF(ISNUMBER(MATCH($I23,OCPD_LIST,0)),$I23,IF($I23&gt;MAX(OCPD_LIST),"ABOVE LIST",INDEX(OCPD_LIST,MATCH($I23,OCPD_LIST,1)+1))))</f>
        <v/>
      </c>
      <c r="K23" s="863">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807" t="inlineStr">
        <is>
          <t>8 AWG</t>
        </is>
      </c>
      <c r="M23" s="831" t="n">
        <v>2</v>
      </c>
      <c r="N23" s="865">
        <f>IF(OR(IF($L23&lt;&gt;"",$L23,$K23)="",IF($L23&lt;&gt;"",$L23,$K23)="PARALLEL SETS"),"",IFERROR(INDEX(SZ_AMP,MATCH(IF($L23&lt;&gt;"",$L23,$K23),SZ_SIZE,0))*IF(N($M23)&gt;0,N($M23),MAX(1,N(IFERROR(INDEX(SPEC_CIRC,MATCH(INDEX(Equipment!$C$7:$C$18,MAX(1,N($W23))),SPEC_SKU,0)),1)))),""))</f>
        <v/>
      </c>
      <c r="O23" s="866">
        <f>IF(OR(N($N23)=0,N($F23)=0),"",IFERROR(IF($V23="L2",2,SQRT(3))*N($H23)/IF(N($M23)&gt;0,N($M23),MAX(1,N(IFERROR(INDEX(SPEC_CIRC,MATCH(INDEX(Equipment!$C$7:$C$18,MAX(1,N($W23))),SPEC_SKU,0)),1))))*N($F23)*INDEX(SZ_Z,MATCH(IF($L23&lt;&gt;"",$L23,$K23),SZ_SIZE,0))/1000/IF($V23="L2",N(Equipment!$B$30),Project!$B$29),""))</f>
        <v/>
      </c>
      <c r="P23" s="863">
        <f>IF(N($J23)=0,"",IFERROR(INDEX(IF($B$6="Cu",EGC_CU,EGC_AL),MATCH($J23,EGC_OCPD,1)+IF(ISNUMBER(MATCH($J23,EGC_OCPD,0)),0,1)),""))</f>
        <v/>
      </c>
      <c r="Q23" s="863">
        <f>IF(N($N23)=0,"",IFERROR(INDEX(IF($V23="L2",CND_2G,CND_3G),MATCH(IF($L23&lt;&gt;"",$L23,$K23),CND_SIZE,0)),""))</f>
        <v/>
      </c>
      <c r="R23" s="807" t="n"/>
      <c r="S23" s="867">
        <f>IF(OR(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863">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868">
        <f>IF($W23="",0,IF($E23="",1,IF(MATCH($E23,$E$18:$E$77,0)=6,1,0)))</f>
        <v/>
      </c>
      <c r="V23" s="869">
        <f>IF($W23="","",IF(INDEX(Equipment!$E$7:$E$18,$W23)="level_2","L2",IF(INDEX(Equipment!$E$7:$E$18,$W23)="power_cabinet","CAB","DC")))</f>
        <v/>
      </c>
      <c r="W23" s="868">
        <f>IF(N($B$80)&gt;=6,COUNTIF(Equipment!$S$7:$S$18,"&lt;6")+1,"")</f>
        <v/>
      </c>
      <c r="X23" s="868">
        <f>IF($U23&lt;&gt;1,"",IF(N($M23)&gt;0,N($M23),MAX(1,N(IFERROR(INDEX(SPEC_CIRC,MATCH(INDEX(Equipment!$C$7:$C$18,MAX(1,N($W23))),SPEC_SKU,0)),1)))))</f>
        <v/>
      </c>
    </row>
    <row r="24" ht="16" customHeight="1" s="254">
      <c r="A24" s="862">
        <f>IF($W24="","","Charger 7")</f>
        <v/>
      </c>
      <c r="B24" s="863">
        <f>IF($W24="","","Line "&amp;$W24&amp;" · "&amp;INDEX(Equipment!$C$7:$C$18,$W24)&amp;" · "&amp;INDEX(Equipment!$B$7:$B$18,$W24)&amp;" · #"&amp;(7-INDEX(Equipment!$R$7:$R$18,$W24)+1)&amp;" of "&amp;INDEX(Equipment!$I$7:$I$18,$W24))</f>
        <v/>
      </c>
      <c r="C24" s="863">
        <f>IF($W24="","",IF($V24="L2",TEXT(N(Equipment!$B$30),"0")&amp;" V 1-ph",TEXT(Project!$B$29,"0")&amp;" V 3-ph"))</f>
        <v/>
      </c>
      <c r="D24" s="864">
        <f>IF($W24="","",INDEX(Equipment!$G$7:$G$18,$W24))</f>
        <v/>
      </c>
      <c r="E24" s="807" t="n"/>
      <c r="F24" s="831" t="n"/>
      <c r="G24" s="807" t="n"/>
      <c r="H24" s="865">
        <f>IF($U24&lt;&gt;1,"",IF($E24="",N($D24),SUMIF($E$18:$E$77,$E24,$D$18:$D$77))*1000/(IF($V24="L2",N(Equipment!$B$30),Project!$B$29)*IF($V24="L2",1,SQRT(3))))</f>
        <v/>
      </c>
      <c r="I24" s="865">
        <f>IF(N($H24)=0,"",N($H24)*1.25)</f>
        <v/>
      </c>
      <c r="J24" s="865">
        <f>IF(N($I24)=0,"",IF(ISNUMBER(MATCH($I24,OCPD_LIST,0)),$I24,IF($I24&gt;MAX(OCPD_LIST),"ABOVE LIST",INDEX(OCPD_LIST,MATCH($I24,OCPD_LIST,1)+1))))</f>
        <v/>
      </c>
      <c r="K24" s="863">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807" t="n"/>
      <c r="M24" s="831" t="n"/>
      <c r="N24" s="865">
        <f>IF(OR(IF($L24&lt;&gt;"",$L24,$K24)="",IF($L24&lt;&gt;"",$L24,$K24)="PARALLEL SETS"),"",IFERROR(INDEX(SZ_AMP,MATCH(IF($L24&lt;&gt;"",$L24,$K24),SZ_SIZE,0))*IF(N($M24)&gt;0,N($M24),MAX(1,N(IFERROR(INDEX(SPEC_CIRC,MATCH(INDEX(Equipment!$C$7:$C$18,MAX(1,N($W24))),SPEC_SKU,0)),1)))),""))</f>
        <v/>
      </c>
      <c r="O24" s="866">
        <f>IF(OR(N($N24)=0,N($F24)=0),"",IFERROR(IF($V24="L2",2,SQRT(3))*N($H24)/IF(N($M24)&gt;0,N($M24),MAX(1,N(IFERROR(INDEX(SPEC_CIRC,MATCH(INDEX(Equipment!$C$7:$C$18,MAX(1,N($W24))),SPEC_SKU,0)),1))))*N($F24)*INDEX(SZ_Z,MATCH(IF($L24&lt;&gt;"",$L24,$K24),SZ_SIZE,0))/1000/IF($V24="L2",N(Equipment!$B$30),Project!$B$29),""))</f>
        <v/>
      </c>
      <c r="P24" s="863">
        <f>IF(N($J24)=0,"",IFERROR(INDEX(IF($B$6="Cu",EGC_CU,EGC_AL),MATCH($J24,EGC_OCPD,1)+IF(ISNUMBER(MATCH($J24,EGC_OCPD,0)),0,1)),""))</f>
        <v/>
      </c>
      <c r="Q24" s="863">
        <f>IF(N($N24)=0,"",IFERROR(INDEX(IF($V24="L2",CND_2G,CND_3G),MATCH(IF($L24&lt;&gt;"",$L24,$K24),CND_SIZE,0)),""))</f>
        <v/>
      </c>
      <c r="R24" s="807" t="n"/>
      <c r="S24" s="867">
        <f>IF(OR(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863">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868">
        <f>IF($W24="",0,IF($E24="",1,IF(MATCH($E24,$E$18:$E$77,0)=7,1,0)))</f>
        <v/>
      </c>
      <c r="V24" s="869">
        <f>IF($W24="","",IF(INDEX(Equipment!$E$7:$E$18,$W24)="level_2","L2",IF(INDEX(Equipment!$E$7:$E$18,$W24)="power_cabinet","CAB","DC")))</f>
        <v/>
      </c>
      <c r="W24" s="868">
        <f>IF(N($B$80)&gt;=7,COUNTIF(Equipment!$S$7:$S$18,"&lt;7")+1,"")</f>
        <v/>
      </c>
      <c r="X24" s="868">
        <f>IF($U24&lt;&gt;1,"",IF(N($M24)&gt;0,N($M24),MAX(1,N(IFERROR(INDEX(SPEC_CIRC,MATCH(INDEX(Equipment!$C$7:$C$18,MAX(1,N($W24))),SPEC_SKU,0)),1)))))</f>
        <v/>
      </c>
    </row>
    <row r="25" ht="16" customHeight="1" s="254">
      <c r="A25" s="862">
        <f>IF($W25="","","Charger 8")</f>
        <v/>
      </c>
      <c r="B25" s="863">
        <f>IF($W25="","","Line "&amp;$W25&amp;" · "&amp;INDEX(Equipment!$C$7:$C$18,$W25)&amp;" · "&amp;INDEX(Equipment!$B$7:$B$18,$W25)&amp;" · #"&amp;(8-INDEX(Equipment!$R$7:$R$18,$W25)+1)&amp;" of "&amp;INDEX(Equipment!$I$7:$I$18,$W25))</f>
        <v/>
      </c>
      <c r="C25" s="863">
        <f>IF($W25="","",IF($V25="L2",TEXT(N(Equipment!$B$30),"0")&amp;" V 1-ph",TEXT(Project!$B$29,"0")&amp;" V 3-ph"))</f>
        <v/>
      </c>
      <c r="D25" s="864">
        <f>IF($W25="","",INDEX(Equipment!$G$7:$G$18,$W25))</f>
        <v/>
      </c>
      <c r="E25" s="807" t="n"/>
      <c r="F25" s="831" t="n"/>
      <c r="G25" s="807" t="n"/>
      <c r="H25" s="865">
        <f>IF($U25&lt;&gt;1,"",IF($E25="",N($D25),SUMIF($E$18:$E$77,$E25,$D$18:$D$77))*1000/(IF($V25="L2",N(Equipment!$B$30),Project!$B$29)*IF($V25="L2",1,SQRT(3))))</f>
        <v/>
      </c>
      <c r="I25" s="865">
        <f>IF(N($H25)=0,"",N($H25)*1.25)</f>
        <v/>
      </c>
      <c r="J25" s="865">
        <f>IF(N($I25)=0,"",IF(ISNUMBER(MATCH($I25,OCPD_LIST,0)),$I25,IF($I25&gt;MAX(OCPD_LIST),"ABOVE LIST",INDEX(OCPD_LIST,MATCH($I25,OCPD_LIST,1)+1))))</f>
        <v/>
      </c>
      <c r="K25" s="863">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807" t="n"/>
      <c r="M25" s="831" t="n"/>
      <c r="N25" s="865">
        <f>IF(OR(IF($L25&lt;&gt;"",$L25,$K25)="",IF($L25&lt;&gt;"",$L25,$K25)="PARALLEL SETS"),"",IFERROR(INDEX(SZ_AMP,MATCH(IF($L25&lt;&gt;"",$L25,$K25),SZ_SIZE,0))*IF(N($M25)&gt;0,N($M25),MAX(1,N(IFERROR(INDEX(SPEC_CIRC,MATCH(INDEX(Equipment!$C$7:$C$18,MAX(1,N($W25))),SPEC_SKU,0)),1)))),""))</f>
        <v/>
      </c>
      <c r="O25" s="866">
        <f>IF(OR(N($N25)=0,N($F25)=0),"",IFERROR(IF($V25="L2",2,SQRT(3))*N($H25)/IF(N($M25)&gt;0,N($M25),MAX(1,N(IFERROR(INDEX(SPEC_CIRC,MATCH(INDEX(Equipment!$C$7:$C$18,MAX(1,N($W25))),SPEC_SKU,0)),1))))*N($F25)*INDEX(SZ_Z,MATCH(IF($L25&lt;&gt;"",$L25,$K25),SZ_SIZE,0))/1000/IF($V25="L2",N(Equipment!$B$30),Project!$B$29),""))</f>
        <v/>
      </c>
      <c r="P25" s="863">
        <f>IF(N($J25)=0,"",IFERROR(INDEX(IF($B$6="Cu",EGC_CU,EGC_AL),MATCH($J25,EGC_OCPD,1)+IF(ISNUMBER(MATCH($J25,EGC_OCPD,0)),0,1)),""))</f>
        <v/>
      </c>
      <c r="Q25" s="863">
        <f>IF(N($N25)=0,"",IFERROR(INDEX(IF($V25="L2",CND_2G,CND_3G),MATCH(IF($L25&lt;&gt;"",$L25,$K25),CND_SIZE,0)),""))</f>
        <v/>
      </c>
      <c r="R25" s="807" t="n"/>
      <c r="S25" s="867">
        <f>IF(OR(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863">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868">
        <f>IF($W25="",0,IF($E25="",1,IF(MATCH($E25,$E$18:$E$77,0)=8,1,0)))</f>
        <v/>
      </c>
      <c r="V25" s="869">
        <f>IF($W25="","",IF(INDEX(Equipment!$E$7:$E$18,$W25)="level_2","L2",IF(INDEX(Equipment!$E$7:$E$18,$W25)="power_cabinet","CAB","DC")))</f>
        <v/>
      </c>
      <c r="W25" s="868">
        <f>IF(N($B$80)&gt;=8,COUNTIF(Equipment!$S$7:$S$18,"&lt;8")+1,"")</f>
        <v/>
      </c>
      <c r="X25" s="868">
        <f>IF($U25&lt;&gt;1,"",IF(N($M25)&gt;0,N($M25),MAX(1,N(IFERROR(INDEX(SPEC_CIRC,MATCH(INDEX(Equipment!$C$7:$C$18,MAX(1,N($W25))),SPEC_SKU,0)),1)))))</f>
        <v/>
      </c>
    </row>
    <row r="26" ht="16" customHeight="1" s="254">
      <c r="A26" s="862">
        <f>IF($W26="","","Charger 9")</f>
        <v/>
      </c>
      <c r="B26" s="863">
        <f>IF($W26="","","Line "&amp;$W26&amp;" · "&amp;INDEX(Equipment!$C$7:$C$18,$W26)&amp;" · "&amp;INDEX(Equipment!$B$7:$B$18,$W26)&amp;" · #"&amp;(9-INDEX(Equipment!$R$7:$R$18,$W26)+1)&amp;" of "&amp;INDEX(Equipment!$I$7:$I$18,$W26))</f>
        <v/>
      </c>
      <c r="C26" s="863">
        <f>IF($W26="","",IF($V26="L2",TEXT(N(Equipment!$B$30),"0")&amp;" V 1-ph",TEXT(Project!$B$29,"0")&amp;" V 3-ph"))</f>
        <v/>
      </c>
      <c r="D26" s="864">
        <f>IF($W26="","",INDEX(Equipment!$G$7:$G$18,$W26))</f>
        <v/>
      </c>
      <c r="E26" s="807" t="n"/>
      <c r="F26" s="831" t="n"/>
      <c r="G26" s="807" t="n"/>
      <c r="H26" s="865">
        <f>IF($U26&lt;&gt;1,"",IF($E26="",N($D26),SUMIF($E$18:$E$77,$E26,$D$18:$D$77))*1000/(IF($V26="L2",N(Equipment!$B$30),Project!$B$29)*IF($V26="L2",1,SQRT(3))))</f>
        <v/>
      </c>
      <c r="I26" s="865">
        <f>IF(N($H26)=0,"",N($H26)*1.25)</f>
        <v/>
      </c>
      <c r="J26" s="865">
        <f>IF(N($I26)=0,"",IF(ISNUMBER(MATCH($I26,OCPD_LIST,0)),$I26,IF($I26&gt;MAX(OCPD_LIST),"ABOVE LIST",INDEX(OCPD_LIST,MATCH($I26,OCPD_LIST,1)+1))))</f>
        <v/>
      </c>
      <c r="K26" s="863">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807" t="n"/>
      <c r="M26" s="831" t="n"/>
      <c r="N26" s="865">
        <f>IF(OR(IF($L26&lt;&gt;"",$L26,$K26)="",IF($L26&lt;&gt;"",$L26,$K26)="PARALLEL SETS"),"",IFERROR(INDEX(SZ_AMP,MATCH(IF($L26&lt;&gt;"",$L26,$K26),SZ_SIZE,0))*IF(N($M26)&gt;0,N($M26),MAX(1,N(IFERROR(INDEX(SPEC_CIRC,MATCH(INDEX(Equipment!$C$7:$C$18,MAX(1,N($W26))),SPEC_SKU,0)),1)))),""))</f>
        <v/>
      </c>
      <c r="O26" s="866">
        <f>IF(OR(N($N26)=0,N($F26)=0),"",IFERROR(IF($V26="L2",2,SQRT(3))*N($H26)/IF(N($M26)&gt;0,N($M26),MAX(1,N(IFERROR(INDEX(SPEC_CIRC,MATCH(INDEX(Equipment!$C$7:$C$18,MAX(1,N($W26))),SPEC_SKU,0)),1))))*N($F26)*INDEX(SZ_Z,MATCH(IF($L26&lt;&gt;"",$L26,$K26),SZ_SIZE,0))/1000/IF($V26="L2",N(Equipment!$B$30),Project!$B$29),""))</f>
        <v/>
      </c>
      <c r="P26" s="863">
        <f>IF(N($J26)=0,"",IFERROR(INDEX(IF($B$6="Cu",EGC_CU,EGC_AL),MATCH($J26,EGC_OCPD,1)+IF(ISNUMBER(MATCH($J26,EGC_OCPD,0)),0,1)),""))</f>
        <v/>
      </c>
      <c r="Q26" s="863">
        <f>IF(N($N26)=0,"",IFERROR(INDEX(IF($V26="L2",CND_2G,CND_3G),MATCH(IF($L26&lt;&gt;"",$L26,$K26),CND_SIZE,0)),""))</f>
        <v/>
      </c>
      <c r="R26" s="807" t="n"/>
      <c r="S26" s="867">
        <f>IF(OR(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863">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868">
        <f>IF($W26="",0,IF($E26="",1,IF(MATCH($E26,$E$18:$E$77,0)=9,1,0)))</f>
        <v/>
      </c>
      <c r="V26" s="869">
        <f>IF($W26="","",IF(INDEX(Equipment!$E$7:$E$18,$W26)="level_2","L2",IF(INDEX(Equipment!$E$7:$E$18,$W26)="power_cabinet","CAB","DC")))</f>
        <v/>
      </c>
      <c r="W26" s="868">
        <f>IF(N($B$80)&gt;=9,COUNTIF(Equipment!$S$7:$S$18,"&lt;9")+1,"")</f>
        <v/>
      </c>
      <c r="X26" s="868">
        <f>IF($U26&lt;&gt;1,"",IF(N($M26)&gt;0,N($M26),MAX(1,N(IFERROR(INDEX(SPEC_CIRC,MATCH(INDEX(Equipment!$C$7:$C$18,MAX(1,N($W26))),SPEC_SKU,0)),1)))))</f>
        <v/>
      </c>
    </row>
    <row r="27" ht="16" customHeight="1" s="254">
      <c r="A27" s="862">
        <f>IF($W27="","","Charger 10")</f>
        <v/>
      </c>
      <c r="B27" s="863">
        <f>IF($W27="","","Line "&amp;$W27&amp;" · "&amp;INDEX(Equipment!$C$7:$C$18,$W27)&amp;" · "&amp;INDEX(Equipment!$B$7:$B$18,$W27)&amp;" · #"&amp;(10-INDEX(Equipment!$R$7:$R$18,$W27)+1)&amp;" of "&amp;INDEX(Equipment!$I$7:$I$18,$W27))</f>
        <v/>
      </c>
      <c r="C27" s="863">
        <f>IF($W27="","",IF($V27="L2",TEXT(N(Equipment!$B$30),"0")&amp;" V 1-ph",TEXT(Project!$B$29,"0")&amp;" V 3-ph"))</f>
        <v/>
      </c>
      <c r="D27" s="864">
        <f>IF($W27="","",INDEX(Equipment!$G$7:$G$18,$W27))</f>
        <v/>
      </c>
      <c r="E27" s="807" t="n"/>
      <c r="F27" s="831" t="n"/>
      <c r="G27" s="807" t="n"/>
      <c r="H27" s="865">
        <f>IF($U27&lt;&gt;1,"",IF($E27="",N($D27),SUMIF($E$18:$E$77,$E27,$D$18:$D$77))*1000/(IF($V27="L2",N(Equipment!$B$30),Project!$B$29)*IF($V27="L2",1,SQRT(3))))</f>
        <v/>
      </c>
      <c r="I27" s="865">
        <f>IF(N($H27)=0,"",N($H27)*1.25)</f>
        <v/>
      </c>
      <c r="J27" s="865">
        <f>IF(N($I27)=0,"",IF(ISNUMBER(MATCH($I27,OCPD_LIST,0)),$I27,IF($I27&gt;MAX(OCPD_LIST),"ABOVE LIST",INDEX(OCPD_LIST,MATCH($I27,OCPD_LIST,1)+1))))</f>
        <v/>
      </c>
      <c r="K27" s="863">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807" t="n"/>
      <c r="M27" s="831" t="n"/>
      <c r="N27" s="865">
        <f>IF(OR(IF($L27&lt;&gt;"",$L27,$K27)="",IF($L27&lt;&gt;"",$L27,$K27)="PARALLEL SETS"),"",IFERROR(INDEX(SZ_AMP,MATCH(IF($L27&lt;&gt;"",$L27,$K27),SZ_SIZE,0))*IF(N($M27)&gt;0,N($M27),MAX(1,N(IFERROR(INDEX(SPEC_CIRC,MATCH(INDEX(Equipment!$C$7:$C$18,MAX(1,N($W27))),SPEC_SKU,0)),1)))),""))</f>
        <v/>
      </c>
      <c r="O27" s="866">
        <f>IF(OR(N($N27)=0,N($F27)=0),"",IFERROR(IF($V27="L2",2,SQRT(3))*N($H27)/IF(N($M27)&gt;0,N($M27),MAX(1,N(IFERROR(INDEX(SPEC_CIRC,MATCH(INDEX(Equipment!$C$7:$C$18,MAX(1,N($W27))),SPEC_SKU,0)),1))))*N($F27)*INDEX(SZ_Z,MATCH(IF($L27&lt;&gt;"",$L27,$K27),SZ_SIZE,0))/1000/IF($V27="L2",N(Equipment!$B$30),Project!$B$29),""))</f>
        <v/>
      </c>
      <c r="P27" s="863">
        <f>IF(N($J27)=0,"",IFERROR(INDEX(IF($B$6="Cu",EGC_CU,EGC_AL),MATCH($J27,EGC_OCPD,1)+IF(ISNUMBER(MATCH($J27,EGC_OCPD,0)),0,1)),""))</f>
        <v/>
      </c>
      <c r="Q27" s="863">
        <f>IF(N($N27)=0,"",IFERROR(INDEX(IF($V27="L2",CND_2G,CND_3G),MATCH(IF($L27&lt;&gt;"",$L27,$K27),CND_SIZE,0)),""))</f>
        <v/>
      </c>
      <c r="R27" s="807" t="n"/>
      <c r="S27" s="867">
        <f>IF(OR(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863">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868">
        <f>IF($W27="",0,IF($E27="",1,IF(MATCH($E27,$E$18:$E$77,0)=10,1,0)))</f>
        <v/>
      </c>
      <c r="V27" s="869">
        <f>IF($W27="","",IF(INDEX(Equipment!$E$7:$E$18,$W27)="level_2","L2",IF(INDEX(Equipment!$E$7:$E$18,$W27)="power_cabinet","CAB","DC")))</f>
        <v/>
      </c>
      <c r="W27" s="868">
        <f>IF(N($B$80)&gt;=10,COUNTIF(Equipment!$S$7:$S$18,"&lt;10")+1,"")</f>
        <v/>
      </c>
      <c r="X27" s="868">
        <f>IF($U27&lt;&gt;1,"",IF(N($M27)&gt;0,N($M27),MAX(1,N(IFERROR(INDEX(SPEC_CIRC,MATCH(INDEX(Equipment!$C$7:$C$18,MAX(1,N($W27))),SPEC_SKU,0)),1)))))</f>
        <v/>
      </c>
    </row>
    <row r="28" ht="16" customHeight="1" s="254">
      <c r="A28" s="862">
        <f>IF($W28="","","Charger 11")</f>
        <v/>
      </c>
      <c r="B28" s="863">
        <f>IF($W28="","","Line "&amp;$W28&amp;" · "&amp;INDEX(Equipment!$C$7:$C$18,$W28)&amp;" · "&amp;INDEX(Equipment!$B$7:$B$18,$W28)&amp;" · #"&amp;(11-INDEX(Equipment!$R$7:$R$18,$W28)+1)&amp;" of "&amp;INDEX(Equipment!$I$7:$I$18,$W28))</f>
        <v/>
      </c>
      <c r="C28" s="863">
        <f>IF($W28="","",IF($V28="L2",TEXT(N(Equipment!$B$30),"0")&amp;" V 1-ph",TEXT(Project!$B$29,"0")&amp;" V 3-ph"))</f>
        <v/>
      </c>
      <c r="D28" s="864">
        <f>IF($W28="","",INDEX(Equipment!$G$7:$G$18,$W28))</f>
        <v/>
      </c>
      <c r="E28" s="807" t="n"/>
      <c r="F28" s="831" t="n"/>
      <c r="G28" s="807" t="n"/>
      <c r="H28" s="865">
        <f>IF($U28&lt;&gt;1,"",IF($E28="",N($D28),SUMIF($E$18:$E$77,$E28,$D$18:$D$77))*1000/(IF($V28="L2",N(Equipment!$B$30),Project!$B$29)*IF($V28="L2",1,SQRT(3))))</f>
        <v/>
      </c>
      <c r="I28" s="865">
        <f>IF(N($H28)=0,"",N($H28)*1.25)</f>
        <v/>
      </c>
      <c r="J28" s="865">
        <f>IF(N($I28)=0,"",IF(ISNUMBER(MATCH($I28,OCPD_LIST,0)),$I28,IF($I28&gt;MAX(OCPD_LIST),"ABOVE LIST",INDEX(OCPD_LIST,MATCH($I28,OCPD_LIST,1)+1))))</f>
        <v/>
      </c>
      <c r="K28" s="863">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807" t="n"/>
      <c r="M28" s="831" t="n"/>
      <c r="N28" s="865">
        <f>IF(OR(IF($L28&lt;&gt;"",$L28,$K28)="",IF($L28&lt;&gt;"",$L28,$K28)="PARALLEL SETS"),"",IFERROR(INDEX(SZ_AMP,MATCH(IF($L28&lt;&gt;"",$L28,$K28),SZ_SIZE,0))*IF(N($M28)&gt;0,N($M28),MAX(1,N(IFERROR(INDEX(SPEC_CIRC,MATCH(INDEX(Equipment!$C$7:$C$18,MAX(1,N($W28))),SPEC_SKU,0)),1)))),""))</f>
        <v/>
      </c>
      <c r="O28" s="866">
        <f>IF(OR(N($N28)=0,N($F28)=0),"",IFERROR(IF($V28="L2",2,SQRT(3))*N($H28)/IF(N($M28)&gt;0,N($M28),MAX(1,N(IFERROR(INDEX(SPEC_CIRC,MATCH(INDEX(Equipment!$C$7:$C$18,MAX(1,N($W28))),SPEC_SKU,0)),1))))*N($F28)*INDEX(SZ_Z,MATCH(IF($L28&lt;&gt;"",$L28,$K28),SZ_SIZE,0))/1000/IF($V28="L2",N(Equipment!$B$30),Project!$B$29),""))</f>
        <v/>
      </c>
      <c r="P28" s="863">
        <f>IF(N($J28)=0,"",IFERROR(INDEX(IF($B$6="Cu",EGC_CU,EGC_AL),MATCH($J28,EGC_OCPD,1)+IF(ISNUMBER(MATCH($J28,EGC_OCPD,0)),0,1)),""))</f>
        <v/>
      </c>
      <c r="Q28" s="863">
        <f>IF(N($N28)=0,"",IFERROR(INDEX(IF($V28="L2",CND_2G,CND_3G),MATCH(IF($L28&lt;&gt;"",$L28,$K28),CND_SIZE,0)),""))</f>
        <v/>
      </c>
      <c r="R28" s="807" t="n"/>
      <c r="S28" s="867">
        <f>IF(OR(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863">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868">
        <f>IF($W28="",0,IF($E28="",1,IF(MATCH($E28,$E$18:$E$77,0)=11,1,0)))</f>
        <v/>
      </c>
      <c r="V28" s="869">
        <f>IF($W28="","",IF(INDEX(Equipment!$E$7:$E$18,$W28)="level_2","L2",IF(INDEX(Equipment!$E$7:$E$18,$W28)="power_cabinet","CAB","DC")))</f>
        <v/>
      </c>
      <c r="W28" s="868">
        <f>IF(N($B$80)&gt;=11,COUNTIF(Equipment!$S$7:$S$18,"&lt;11")+1,"")</f>
        <v/>
      </c>
      <c r="X28" s="868">
        <f>IF($U28&lt;&gt;1,"",IF(N($M28)&gt;0,N($M28),MAX(1,N(IFERROR(INDEX(SPEC_CIRC,MATCH(INDEX(Equipment!$C$7:$C$18,MAX(1,N($W28))),SPEC_SKU,0)),1)))))</f>
        <v/>
      </c>
    </row>
    <row r="29" ht="16" customHeight="1" s="254">
      <c r="A29" s="862">
        <f>IF($W29="","","Charger 12")</f>
        <v/>
      </c>
      <c r="B29" s="863">
        <f>IF($W29="","","Line "&amp;$W29&amp;" · "&amp;INDEX(Equipment!$C$7:$C$18,$W29)&amp;" · "&amp;INDEX(Equipment!$B$7:$B$18,$W29)&amp;" · #"&amp;(12-INDEX(Equipment!$R$7:$R$18,$W29)+1)&amp;" of "&amp;INDEX(Equipment!$I$7:$I$18,$W29))</f>
        <v/>
      </c>
      <c r="C29" s="863">
        <f>IF($W29="","",IF($V29="L2",TEXT(N(Equipment!$B$30),"0")&amp;" V 1-ph",TEXT(Project!$B$29,"0")&amp;" V 3-ph"))</f>
        <v/>
      </c>
      <c r="D29" s="864">
        <f>IF($W29="","",INDEX(Equipment!$G$7:$G$18,$W29))</f>
        <v/>
      </c>
      <c r="E29" s="807" t="n"/>
      <c r="F29" s="831" t="n"/>
      <c r="G29" s="807" t="n"/>
      <c r="H29" s="865">
        <f>IF($U29&lt;&gt;1,"",IF($E29="",N($D29),SUMIF($E$18:$E$77,$E29,$D$18:$D$77))*1000/(IF($V29="L2",N(Equipment!$B$30),Project!$B$29)*IF($V29="L2",1,SQRT(3))))</f>
        <v/>
      </c>
      <c r="I29" s="865">
        <f>IF(N($H29)=0,"",N($H29)*1.25)</f>
        <v/>
      </c>
      <c r="J29" s="865">
        <f>IF(N($I29)=0,"",IF(ISNUMBER(MATCH($I29,OCPD_LIST,0)),$I29,IF($I29&gt;MAX(OCPD_LIST),"ABOVE LIST",INDEX(OCPD_LIST,MATCH($I29,OCPD_LIST,1)+1))))</f>
        <v/>
      </c>
      <c r="K29" s="863">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807" t="n"/>
      <c r="M29" s="831" t="n"/>
      <c r="N29" s="865">
        <f>IF(OR(IF($L29&lt;&gt;"",$L29,$K29)="",IF($L29&lt;&gt;"",$L29,$K29)="PARALLEL SETS"),"",IFERROR(INDEX(SZ_AMP,MATCH(IF($L29&lt;&gt;"",$L29,$K29),SZ_SIZE,0))*IF(N($M29)&gt;0,N($M29),MAX(1,N(IFERROR(INDEX(SPEC_CIRC,MATCH(INDEX(Equipment!$C$7:$C$18,MAX(1,N($W29))),SPEC_SKU,0)),1)))),""))</f>
        <v/>
      </c>
      <c r="O29" s="866">
        <f>IF(OR(N($N29)=0,N($F29)=0),"",IFERROR(IF($V29="L2",2,SQRT(3))*N($H29)/IF(N($M29)&gt;0,N($M29),MAX(1,N(IFERROR(INDEX(SPEC_CIRC,MATCH(INDEX(Equipment!$C$7:$C$18,MAX(1,N($W29))),SPEC_SKU,0)),1))))*N($F29)*INDEX(SZ_Z,MATCH(IF($L29&lt;&gt;"",$L29,$K29),SZ_SIZE,0))/1000/IF($V29="L2",N(Equipment!$B$30),Project!$B$29),""))</f>
        <v/>
      </c>
      <c r="P29" s="863">
        <f>IF(N($J29)=0,"",IFERROR(INDEX(IF($B$6="Cu",EGC_CU,EGC_AL),MATCH($J29,EGC_OCPD,1)+IF(ISNUMBER(MATCH($J29,EGC_OCPD,0)),0,1)),""))</f>
        <v/>
      </c>
      <c r="Q29" s="863">
        <f>IF(N($N29)=0,"",IFERROR(INDEX(IF($V29="L2",CND_2G,CND_3G),MATCH(IF($L29&lt;&gt;"",$L29,$K29),CND_SIZE,0)),""))</f>
        <v/>
      </c>
      <c r="R29" s="807" t="n"/>
      <c r="S29" s="867">
        <f>IF(OR(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863">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868">
        <f>IF($W29="",0,IF($E29="",1,IF(MATCH($E29,$E$18:$E$77,0)=12,1,0)))</f>
        <v/>
      </c>
      <c r="V29" s="869">
        <f>IF($W29="","",IF(INDEX(Equipment!$E$7:$E$18,$W29)="level_2","L2",IF(INDEX(Equipment!$E$7:$E$18,$W29)="power_cabinet","CAB","DC")))</f>
        <v/>
      </c>
      <c r="W29" s="868">
        <f>IF(N($B$80)&gt;=12,COUNTIF(Equipment!$S$7:$S$18,"&lt;12")+1,"")</f>
        <v/>
      </c>
      <c r="X29" s="868">
        <f>IF($U29&lt;&gt;1,"",IF(N($M29)&gt;0,N($M29),MAX(1,N(IFERROR(INDEX(SPEC_CIRC,MATCH(INDEX(Equipment!$C$7:$C$18,MAX(1,N($W29))),SPEC_SKU,0)),1)))))</f>
        <v/>
      </c>
    </row>
    <row r="30" ht="16" customHeight="1" s="254">
      <c r="A30" s="862">
        <f>IF($W30="","","Charger 13")</f>
        <v/>
      </c>
      <c r="B30" s="863">
        <f>IF($W30="","","Line "&amp;$W30&amp;" · "&amp;INDEX(Equipment!$C$7:$C$18,$W30)&amp;" · "&amp;INDEX(Equipment!$B$7:$B$18,$W30)&amp;" · #"&amp;(13-INDEX(Equipment!$R$7:$R$18,$W30)+1)&amp;" of "&amp;INDEX(Equipment!$I$7:$I$18,$W30))</f>
        <v/>
      </c>
      <c r="C30" s="863">
        <f>IF($W30="","",IF($V30="L2",TEXT(N(Equipment!$B$30),"0")&amp;" V 1-ph",TEXT(Project!$B$29,"0")&amp;" V 3-ph"))</f>
        <v/>
      </c>
      <c r="D30" s="864">
        <f>IF($W30="","",INDEX(Equipment!$G$7:$G$18,$W30))</f>
        <v/>
      </c>
      <c r="E30" s="807" t="n"/>
      <c r="F30" s="831" t="n"/>
      <c r="G30" s="807" t="n"/>
      <c r="H30" s="865">
        <f>IF($U30&lt;&gt;1,"",IF($E30="",N($D30),SUMIF($E$18:$E$77,$E30,$D$18:$D$77))*1000/(IF($V30="L2",N(Equipment!$B$30),Project!$B$29)*IF($V30="L2",1,SQRT(3))))</f>
        <v/>
      </c>
      <c r="I30" s="865">
        <f>IF(N($H30)=0,"",N($H30)*1.25)</f>
        <v/>
      </c>
      <c r="J30" s="865">
        <f>IF(N($I30)=0,"",IF(ISNUMBER(MATCH($I30,OCPD_LIST,0)),$I30,IF($I30&gt;MAX(OCPD_LIST),"ABOVE LIST",INDEX(OCPD_LIST,MATCH($I30,OCPD_LIST,1)+1))))</f>
        <v/>
      </c>
      <c r="K30" s="863">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807" t="n"/>
      <c r="M30" s="831" t="n"/>
      <c r="N30" s="865">
        <f>IF(OR(IF($L30&lt;&gt;"",$L30,$K30)="",IF($L30&lt;&gt;"",$L30,$K30)="PARALLEL SETS"),"",IFERROR(INDEX(SZ_AMP,MATCH(IF($L30&lt;&gt;"",$L30,$K30),SZ_SIZE,0))*IF(N($M30)&gt;0,N($M30),MAX(1,N(IFERROR(INDEX(SPEC_CIRC,MATCH(INDEX(Equipment!$C$7:$C$18,MAX(1,N($W30))),SPEC_SKU,0)),1)))),""))</f>
        <v/>
      </c>
      <c r="O30" s="866">
        <f>IF(OR(N($N30)=0,N($F30)=0),"",IFERROR(IF($V30="L2",2,SQRT(3))*N($H30)/IF(N($M30)&gt;0,N($M30),MAX(1,N(IFERROR(INDEX(SPEC_CIRC,MATCH(INDEX(Equipment!$C$7:$C$18,MAX(1,N($W30))),SPEC_SKU,0)),1))))*N($F30)*INDEX(SZ_Z,MATCH(IF($L30&lt;&gt;"",$L30,$K30),SZ_SIZE,0))/1000/IF($V30="L2",N(Equipment!$B$30),Project!$B$29),""))</f>
        <v/>
      </c>
      <c r="P30" s="863">
        <f>IF(N($J30)=0,"",IFERROR(INDEX(IF($B$6="Cu",EGC_CU,EGC_AL),MATCH($J30,EGC_OCPD,1)+IF(ISNUMBER(MATCH($J30,EGC_OCPD,0)),0,1)),""))</f>
        <v/>
      </c>
      <c r="Q30" s="863">
        <f>IF(N($N30)=0,"",IFERROR(INDEX(IF($V30="L2",CND_2G,CND_3G),MATCH(IF($L30&lt;&gt;"",$L30,$K30),CND_SIZE,0)),""))</f>
        <v/>
      </c>
      <c r="R30" s="807" t="n"/>
      <c r="S30" s="867">
        <f>IF(OR(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863">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868">
        <f>IF($W30="",0,IF($E30="",1,IF(MATCH($E30,$E$18:$E$77,0)=13,1,0)))</f>
        <v/>
      </c>
      <c r="V30" s="869">
        <f>IF($W30="","",IF(INDEX(Equipment!$E$7:$E$18,$W30)="level_2","L2",IF(INDEX(Equipment!$E$7:$E$18,$W30)="power_cabinet","CAB","DC")))</f>
        <v/>
      </c>
      <c r="W30" s="868">
        <f>IF(N($B$80)&gt;=13,COUNTIF(Equipment!$S$7:$S$18,"&lt;13")+1,"")</f>
        <v/>
      </c>
      <c r="X30" s="868">
        <f>IF($U30&lt;&gt;1,"",IF(N($M30)&gt;0,N($M30),MAX(1,N(IFERROR(INDEX(SPEC_CIRC,MATCH(INDEX(Equipment!$C$7:$C$18,MAX(1,N($W30))),SPEC_SKU,0)),1)))))</f>
        <v/>
      </c>
    </row>
    <row r="31" ht="16" customHeight="1" s="254">
      <c r="A31" s="862">
        <f>IF($W31="","","Charger 14")</f>
        <v/>
      </c>
      <c r="B31" s="863">
        <f>IF($W31="","","Line "&amp;$W31&amp;" · "&amp;INDEX(Equipment!$C$7:$C$18,$W31)&amp;" · "&amp;INDEX(Equipment!$B$7:$B$18,$W31)&amp;" · #"&amp;(14-INDEX(Equipment!$R$7:$R$18,$W31)+1)&amp;" of "&amp;INDEX(Equipment!$I$7:$I$18,$W31))</f>
        <v/>
      </c>
      <c r="C31" s="863">
        <f>IF($W31="","",IF($V31="L2",TEXT(N(Equipment!$B$30),"0")&amp;" V 1-ph",TEXT(Project!$B$29,"0")&amp;" V 3-ph"))</f>
        <v/>
      </c>
      <c r="D31" s="864">
        <f>IF($W31="","",INDEX(Equipment!$G$7:$G$18,$W31))</f>
        <v/>
      </c>
      <c r="E31" s="807" t="n"/>
      <c r="F31" s="831" t="n"/>
      <c r="G31" s="807" t="n"/>
      <c r="H31" s="865">
        <f>IF($U31&lt;&gt;1,"",IF($E31="",N($D31),SUMIF($E$18:$E$77,$E31,$D$18:$D$77))*1000/(IF($V31="L2",N(Equipment!$B$30),Project!$B$29)*IF($V31="L2",1,SQRT(3))))</f>
        <v/>
      </c>
      <c r="I31" s="865">
        <f>IF(N($H31)=0,"",N($H31)*1.25)</f>
        <v/>
      </c>
      <c r="J31" s="865">
        <f>IF(N($I31)=0,"",IF(ISNUMBER(MATCH($I31,OCPD_LIST,0)),$I31,IF($I31&gt;MAX(OCPD_LIST),"ABOVE LIST",INDEX(OCPD_LIST,MATCH($I31,OCPD_LIST,1)+1))))</f>
        <v/>
      </c>
      <c r="K31" s="863">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807" t="n"/>
      <c r="M31" s="831" t="n"/>
      <c r="N31" s="865">
        <f>IF(OR(IF($L31&lt;&gt;"",$L31,$K31)="",IF($L31&lt;&gt;"",$L31,$K31)="PARALLEL SETS"),"",IFERROR(INDEX(SZ_AMP,MATCH(IF($L31&lt;&gt;"",$L31,$K31),SZ_SIZE,0))*IF(N($M31)&gt;0,N($M31),MAX(1,N(IFERROR(INDEX(SPEC_CIRC,MATCH(INDEX(Equipment!$C$7:$C$18,MAX(1,N($W31))),SPEC_SKU,0)),1)))),""))</f>
        <v/>
      </c>
      <c r="O31" s="866">
        <f>IF(OR(N($N31)=0,N($F31)=0),"",IFERROR(IF($V31="L2",2,SQRT(3))*N($H31)/IF(N($M31)&gt;0,N($M31),MAX(1,N(IFERROR(INDEX(SPEC_CIRC,MATCH(INDEX(Equipment!$C$7:$C$18,MAX(1,N($W31))),SPEC_SKU,0)),1))))*N($F31)*INDEX(SZ_Z,MATCH(IF($L31&lt;&gt;"",$L31,$K31),SZ_SIZE,0))/1000/IF($V31="L2",N(Equipment!$B$30),Project!$B$29),""))</f>
        <v/>
      </c>
      <c r="P31" s="863">
        <f>IF(N($J31)=0,"",IFERROR(INDEX(IF($B$6="Cu",EGC_CU,EGC_AL),MATCH($J31,EGC_OCPD,1)+IF(ISNUMBER(MATCH($J31,EGC_OCPD,0)),0,1)),""))</f>
        <v/>
      </c>
      <c r="Q31" s="863">
        <f>IF(N($N31)=0,"",IFERROR(INDEX(IF($V31="L2",CND_2G,CND_3G),MATCH(IF($L31&lt;&gt;"",$L31,$K31),CND_SIZE,0)),""))</f>
        <v/>
      </c>
      <c r="R31" s="807" t="n"/>
      <c r="S31" s="867">
        <f>IF(OR(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863">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868">
        <f>IF($W31="",0,IF($E31="",1,IF(MATCH($E31,$E$18:$E$77,0)=14,1,0)))</f>
        <v/>
      </c>
      <c r="V31" s="869">
        <f>IF($W31="","",IF(INDEX(Equipment!$E$7:$E$18,$W31)="level_2","L2",IF(INDEX(Equipment!$E$7:$E$18,$W31)="power_cabinet","CAB","DC")))</f>
        <v/>
      </c>
      <c r="W31" s="868">
        <f>IF(N($B$80)&gt;=14,COUNTIF(Equipment!$S$7:$S$18,"&lt;14")+1,"")</f>
        <v/>
      </c>
      <c r="X31" s="868">
        <f>IF($U31&lt;&gt;1,"",IF(N($M31)&gt;0,N($M31),MAX(1,N(IFERROR(INDEX(SPEC_CIRC,MATCH(INDEX(Equipment!$C$7:$C$18,MAX(1,N($W31))),SPEC_SKU,0)),1)))))</f>
        <v/>
      </c>
    </row>
    <row r="32" ht="16" customHeight="1" s="254">
      <c r="A32" s="862">
        <f>IF($W32="","","Charger 15")</f>
        <v/>
      </c>
      <c r="B32" s="863">
        <f>IF($W32="","","Line "&amp;$W32&amp;" · "&amp;INDEX(Equipment!$C$7:$C$18,$W32)&amp;" · "&amp;INDEX(Equipment!$B$7:$B$18,$W32)&amp;" · #"&amp;(15-INDEX(Equipment!$R$7:$R$18,$W32)+1)&amp;" of "&amp;INDEX(Equipment!$I$7:$I$18,$W32))</f>
        <v/>
      </c>
      <c r="C32" s="863">
        <f>IF($W32="","",IF($V32="L2",TEXT(N(Equipment!$B$30),"0")&amp;" V 1-ph",TEXT(Project!$B$29,"0")&amp;" V 3-ph"))</f>
        <v/>
      </c>
      <c r="D32" s="864">
        <f>IF($W32="","",INDEX(Equipment!$G$7:$G$18,$W32))</f>
        <v/>
      </c>
      <c r="E32" s="807" t="n"/>
      <c r="F32" s="831" t="n"/>
      <c r="G32" s="807" t="n"/>
      <c r="H32" s="865">
        <f>IF($U32&lt;&gt;1,"",IF($E32="",N($D32),SUMIF($E$18:$E$77,$E32,$D$18:$D$77))*1000/(IF($V32="L2",N(Equipment!$B$30),Project!$B$29)*IF($V32="L2",1,SQRT(3))))</f>
        <v/>
      </c>
      <c r="I32" s="865">
        <f>IF(N($H32)=0,"",N($H32)*1.25)</f>
        <v/>
      </c>
      <c r="J32" s="865">
        <f>IF(N($I32)=0,"",IF(ISNUMBER(MATCH($I32,OCPD_LIST,0)),$I32,IF($I32&gt;MAX(OCPD_LIST),"ABOVE LIST",INDEX(OCPD_LIST,MATCH($I32,OCPD_LIST,1)+1))))</f>
        <v/>
      </c>
      <c r="K32" s="863">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807" t="n"/>
      <c r="M32" s="831" t="n"/>
      <c r="N32" s="865">
        <f>IF(OR(IF($L32&lt;&gt;"",$L32,$K32)="",IF($L32&lt;&gt;"",$L32,$K32)="PARALLEL SETS"),"",IFERROR(INDEX(SZ_AMP,MATCH(IF($L32&lt;&gt;"",$L32,$K32),SZ_SIZE,0))*IF(N($M32)&gt;0,N($M32),MAX(1,N(IFERROR(INDEX(SPEC_CIRC,MATCH(INDEX(Equipment!$C$7:$C$18,MAX(1,N($W32))),SPEC_SKU,0)),1)))),""))</f>
        <v/>
      </c>
      <c r="O32" s="866">
        <f>IF(OR(N($N32)=0,N($F32)=0),"",IFERROR(IF($V32="L2",2,SQRT(3))*N($H32)/IF(N($M32)&gt;0,N($M32),MAX(1,N(IFERROR(INDEX(SPEC_CIRC,MATCH(INDEX(Equipment!$C$7:$C$18,MAX(1,N($W32))),SPEC_SKU,0)),1))))*N($F32)*INDEX(SZ_Z,MATCH(IF($L32&lt;&gt;"",$L32,$K32),SZ_SIZE,0))/1000/IF($V32="L2",N(Equipment!$B$30),Project!$B$29),""))</f>
        <v/>
      </c>
      <c r="P32" s="863">
        <f>IF(N($J32)=0,"",IFERROR(INDEX(IF($B$6="Cu",EGC_CU,EGC_AL),MATCH($J32,EGC_OCPD,1)+IF(ISNUMBER(MATCH($J32,EGC_OCPD,0)),0,1)),""))</f>
        <v/>
      </c>
      <c r="Q32" s="863">
        <f>IF(N($N32)=0,"",IFERROR(INDEX(IF($V32="L2",CND_2G,CND_3G),MATCH(IF($L32&lt;&gt;"",$L32,$K32),CND_SIZE,0)),""))</f>
        <v/>
      </c>
      <c r="R32" s="807" t="n"/>
      <c r="S32" s="867">
        <f>IF(OR(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863">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868">
        <f>IF($W32="",0,IF($E32="",1,IF(MATCH($E32,$E$18:$E$77,0)=15,1,0)))</f>
        <v/>
      </c>
      <c r="V32" s="869">
        <f>IF($W32="","",IF(INDEX(Equipment!$E$7:$E$18,$W32)="level_2","L2",IF(INDEX(Equipment!$E$7:$E$18,$W32)="power_cabinet","CAB","DC")))</f>
        <v/>
      </c>
      <c r="W32" s="868">
        <f>IF(N($B$80)&gt;=15,COUNTIF(Equipment!$S$7:$S$18,"&lt;15")+1,"")</f>
        <v/>
      </c>
      <c r="X32" s="868">
        <f>IF($U32&lt;&gt;1,"",IF(N($M32)&gt;0,N($M32),MAX(1,N(IFERROR(INDEX(SPEC_CIRC,MATCH(INDEX(Equipment!$C$7:$C$18,MAX(1,N($W32))),SPEC_SKU,0)),1)))))</f>
        <v/>
      </c>
    </row>
    <row r="33" ht="16" customHeight="1" s="254">
      <c r="A33" s="862">
        <f>IF($W33="","","Charger 16")</f>
        <v/>
      </c>
      <c r="B33" s="863">
        <f>IF($W33="","","Line "&amp;$W33&amp;" · "&amp;INDEX(Equipment!$C$7:$C$18,$W33)&amp;" · "&amp;INDEX(Equipment!$B$7:$B$18,$W33)&amp;" · #"&amp;(16-INDEX(Equipment!$R$7:$R$18,$W33)+1)&amp;" of "&amp;INDEX(Equipment!$I$7:$I$18,$W33))</f>
        <v/>
      </c>
      <c r="C33" s="863">
        <f>IF($W33="","",IF($V33="L2",TEXT(N(Equipment!$B$30),"0")&amp;" V 1-ph",TEXT(Project!$B$29,"0")&amp;" V 3-ph"))</f>
        <v/>
      </c>
      <c r="D33" s="864">
        <f>IF($W33="","",INDEX(Equipment!$G$7:$G$18,$W33))</f>
        <v/>
      </c>
      <c r="E33" s="807" t="n"/>
      <c r="F33" s="831" t="n"/>
      <c r="G33" s="807" t="n"/>
      <c r="H33" s="865">
        <f>IF($U33&lt;&gt;1,"",IF($E33="",N($D33),SUMIF($E$18:$E$77,$E33,$D$18:$D$77))*1000/(IF($V33="L2",N(Equipment!$B$30),Project!$B$29)*IF($V33="L2",1,SQRT(3))))</f>
        <v/>
      </c>
      <c r="I33" s="865">
        <f>IF(N($H33)=0,"",N($H33)*1.25)</f>
        <v/>
      </c>
      <c r="J33" s="865">
        <f>IF(N($I33)=0,"",IF(ISNUMBER(MATCH($I33,OCPD_LIST,0)),$I33,IF($I33&gt;MAX(OCPD_LIST),"ABOVE LIST",INDEX(OCPD_LIST,MATCH($I33,OCPD_LIST,1)+1))))</f>
        <v/>
      </c>
      <c r="K33" s="863">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807" t="n"/>
      <c r="M33" s="831" t="n"/>
      <c r="N33" s="865">
        <f>IF(OR(IF($L33&lt;&gt;"",$L33,$K33)="",IF($L33&lt;&gt;"",$L33,$K33)="PARALLEL SETS"),"",IFERROR(INDEX(SZ_AMP,MATCH(IF($L33&lt;&gt;"",$L33,$K33),SZ_SIZE,0))*IF(N($M33)&gt;0,N($M33),MAX(1,N(IFERROR(INDEX(SPEC_CIRC,MATCH(INDEX(Equipment!$C$7:$C$18,MAX(1,N($W33))),SPEC_SKU,0)),1)))),""))</f>
        <v/>
      </c>
      <c r="O33" s="866">
        <f>IF(OR(N($N33)=0,N($F33)=0),"",IFERROR(IF($V33="L2",2,SQRT(3))*N($H33)/IF(N($M33)&gt;0,N($M33),MAX(1,N(IFERROR(INDEX(SPEC_CIRC,MATCH(INDEX(Equipment!$C$7:$C$18,MAX(1,N($W33))),SPEC_SKU,0)),1))))*N($F33)*INDEX(SZ_Z,MATCH(IF($L33&lt;&gt;"",$L33,$K33),SZ_SIZE,0))/1000/IF($V33="L2",N(Equipment!$B$30),Project!$B$29),""))</f>
        <v/>
      </c>
      <c r="P33" s="863">
        <f>IF(N($J33)=0,"",IFERROR(INDEX(IF($B$6="Cu",EGC_CU,EGC_AL),MATCH($J33,EGC_OCPD,1)+IF(ISNUMBER(MATCH($J33,EGC_OCPD,0)),0,1)),""))</f>
        <v/>
      </c>
      <c r="Q33" s="863">
        <f>IF(N($N33)=0,"",IFERROR(INDEX(IF($V33="L2",CND_2G,CND_3G),MATCH(IF($L33&lt;&gt;"",$L33,$K33),CND_SIZE,0)),""))</f>
        <v/>
      </c>
      <c r="R33" s="807" t="n"/>
      <c r="S33" s="867">
        <f>IF(OR(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863">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868">
        <f>IF($W33="",0,IF($E33="",1,IF(MATCH($E33,$E$18:$E$77,0)=16,1,0)))</f>
        <v/>
      </c>
      <c r="V33" s="869">
        <f>IF($W33="","",IF(INDEX(Equipment!$E$7:$E$18,$W33)="level_2","L2",IF(INDEX(Equipment!$E$7:$E$18,$W33)="power_cabinet","CAB","DC")))</f>
        <v/>
      </c>
      <c r="W33" s="868">
        <f>IF(N($B$80)&gt;=16,COUNTIF(Equipment!$S$7:$S$18,"&lt;16")+1,"")</f>
        <v/>
      </c>
      <c r="X33" s="868">
        <f>IF($U33&lt;&gt;1,"",IF(N($M33)&gt;0,N($M33),MAX(1,N(IFERROR(INDEX(SPEC_CIRC,MATCH(INDEX(Equipment!$C$7:$C$18,MAX(1,N($W33))),SPEC_SKU,0)),1)))))</f>
        <v/>
      </c>
    </row>
    <row r="34" ht="16" customHeight="1" s="254">
      <c r="A34" s="862">
        <f>IF($W34="","","Charger 17")</f>
        <v/>
      </c>
      <c r="B34" s="863">
        <f>IF($W34="","","Line "&amp;$W34&amp;" · "&amp;INDEX(Equipment!$C$7:$C$18,$W34)&amp;" · "&amp;INDEX(Equipment!$B$7:$B$18,$W34)&amp;" · #"&amp;(17-INDEX(Equipment!$R$7:$R$18,$W34)+1)&amp;" of "&amp;INDEX(Equipment!$I$7:$I$18,$W34))</f>
        <v/>
      </c>
      <c r="C34" s="863">
        <f>IF($W34="","",IF($V34="L2",TEXT(N(Equipment!$B$30),"0")&amp;" V 1-ph",TEXT(Project!$B$29,"0")&amp;" V 3-ph"))</f>
        <v/>
      </c>
      <c r="D34" s="864">
        <f>IF($W34="","",INDEX(Equipment!$G$7:$G$18,$W34))</f>
        <v/>
      </c>
      <c r="E34" s="807" t="n"/>
      <c r="F34" s="831" t="n"/>
      <c r="G34" s="807" t="n"/>
      <c r="H34" s="865">
        <f>IF($U34&lt;&gt;1,"",IF($E34="",N($D34),SUMIF($E$18:$E$77,$E34,$D$18:$D$77))*1000/(IF($V34="L2",N(Equipment!$B$30),Project!$B$29)*IF($V34="L2",1,SQRT(3))))</f>
        <v/>
      </c>
      <c r="I34" s="865">
        <f>IF(N($H34)=0,"",N($H34)*1.25)</f>
        <v/>
      </c>
      <c r="J34" s="865">
        <f>IF(N($I34)=0,"",IF(ISNUMBER(MATCH($I34,OCPD_LIST,0)),$I34,IF($I34&gt;MAX(OCPD_LIST),"ABOVE LIST",INDEX(OCPD_LIST,MATCH($I34,OCPD_LIST,1)+1))))</f>
        <v/>
      </c>
      <c r="K34" s="863">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807" t="n"/>
      <c r="M34" s="831" t="n"/>
      <c r="N34" s="865">
        <f>IF(OR(IF($L34&lt;&gt;"",$L34,$K34)="",IF($L34&lt;&gt;"",$L34,$K34)="PARALLEL SETS"),"",IFERROR(INDEX(SZ_AMP,MATCH(IF($L34&lt;&gt;"",$L34,$K34),SZ_SIZE,0))*IF(N($M34)&gt;0,N($M34),MAX(1,N(IFERROR(INDEX(SPEC_CIRC,MATCH(INDEX(Equipment!$C$7:$C$18,MAX(1,N($W34))),SPEC_SKU,0)),1)))),""))</f>
        <v/>
      </c>
      <c r="O34" s="866">
        <f>IF(OR(N($N34)=0,N($F34)=0),"",IFERROR(IF($V34="L2",2,SQRT(3))*N($H34)/IF(N($M34)&gt;0,N($M34),MAX(1,N(IFERROR(INDEX(SPEC_CIRC,MATCH(INDEX(Equipment!$C$7:$C$18,MAX(1,N($W34))),SPEC_SKU,0)),1))))*N($F34)*INDEX(SZ_Z,MATCH(IF($L34&lt;&gt;"",$L34,$K34),SZ_SIZE,0))/1000/IF($V34="L2",N(Equipment!$B$30),Project!$B$29),""))</f>
        <v/>
      </c>
      <c r="P34" s="863">
        <f>IF(N($J34)=0,"",IFERROR(INDEX(IF($B$6="Cu",EGC_CU,EGC_AL),MATCH($J34,EGC_OCPD,1)+IF(ISNUMBER(MATCH($J34,EGC_OCPD,0)),0,1)),""))</f>
        <v/>
      </c>
      <c r="Q34" s="863">
        <f>IF(N($N34)=0,"",IFERROR(INDEX(IF($V34="L2",CND_2G,CND_3G),MATCH(IF($L34&lt;&gt;"",$L34,$K34),CND_SIZE,0)),""))</f>
        <v/>
      </c>
      <c r="R34" s="807" t="n"/>
      <c r="S34" s="867">
        <f>IF(OR(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863">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868">
        <f>IF($W34="",0,IF($E34="",1,IF(MATCH($E34,$E$18:$E$77,0)=17,1,0)))</f>
        <v/>
      </c>
      <c r="V34" s="869">
        <f>IF($W34="","",IF(INDEX(Equipment!$E$7:$E$18,$W34)="level_2","L2",IF(INDEX(Equipment!$E$7:$E$18,$W34)="power_cabinet","CAB","DC")))</f>
        <v/>
      </c>
      <c r="W34" s="868">
        <f>IF(N($B$80)&gt;=17,COUNTIF(Equipment!$S$7:$S$18,"&lt;17")+1,"")</f>
        <v/>
      </c>
      <c r="X34" s="868">
        <f>IF($U34&lt;&gt;1,"",IF(N($M34)&gt;0,N($M34),MAX(1,N(IFERROR(INDEX(SPEC_CIRC,MATCH(INDEX(Equipment!$C$7:$C$18,MAX(1,N($W34))),SPEC_SKU,0)),1)))))</f>
        <v/>
      </c>
    </row>
    <row r="35" ht="16" customHeight="1" s="254">
      <c r="A35" s="862">
        <f>IF($W35="","","Charger 18")</f>
        <v/>
      </c>
      <c r="B35" s="863">
        <f>IF($W35="","","Line "&amp;$W35&amp;" · "&amp;INDEX(Equipment!$C$7:$C$18,$W35)&amp;" · "&amp;INDEX(Equipment!$B$7:$B$18,$W35)&amp;" · #"&amp;(18-INDEX(Equipment!$R$7:$R$18,$W35)+1)&amp;" of "&amp;INDEX(Equipment!$I$7:$I$18,$W35))</f>
        <v/>
      </c>
      <c r="C35" s="863">
        <f>IF($W35="","",IF($V35="L2",TEXT(N(Equipment!$B$30),"0")&amp;" V 1-ph",TEXT(Project!$B$29,"0")&amp;" V 3-ph"))</f>
        <v/>
      </c>
      <c r="D35" s="864">
        <f>IF($W35="","",INDEX(Equipment!$G$7:$G$18,$W35))</f>
        <v/>
      </c>
      <c r="E35" s="807" t="n"/>
      <c r="F35" s="831" t="n"/>
      <c r="G35" s="807" t="n"/>
      <c r="H35" s="865">
        <f>IF($U35&lt;&gt;1,"",IF($E35="",N($D35),SUMIF($E$18:$E$77,$E35,$D$18:$D$77))*1000/(IF($V35="L2",N(Equipment!$B$30),Project!$B$29)*IF($V35="L2",1,SQRT(3))))</f>
        <v/>
      </c>
      <c r="I35" s="865">
        <f>IF(N($H35)=0,"",N($H35)*1.25)</f>
        <v/>
      </c>
      <c r="J35" s="865">
        <f>IF(N($I35)=0,"",IF(ISNUMBER(MATCH($I35,OCPD_LIST,0)),$I35,IF($I35&gt;MAX(OCPD_LIST),"ABOVE LIST",INDEX(OCPD_LIST,MATCH($I35,OCPD_LIST,1)+1))))</f>
        <v/>
      </c>
      <c r="K35" s="863">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807" t="n"/>
      <c r="M35" s="831" t="n"/>
      <c r="N35" s="865">
        <f>IF(OR(IF($L35&lt;&gt;"",$L35,$K35)="",IF($L35&lt;&gt;"",$L35,$K35)="PARALLEL SETS"),"",IFERROR(INDEX(SZ_AMP,MATCH(IF($L35&lt;&gt;"",$L35,$K35),SZ_SIZE,0))*IF(N($M35)&gt;0,N($M35),MAX(1,N(IFERROR(INDEX(SPEC_CIRC,MATCH(INDEX(Equipment!$C$7:$C$18,MAX(1,N($W35))),SPEC_SKU,0)),1)))),""))</f>
        <v/>
      </c>
      <c r="O35" s="866">
        <f>IF(OR(N($N35)=0,N($F35)=0),"",IFERROR(IF($V35="L2",2,SQRT(3))*N($H35)/IF(N($M35)&gt;0,N($M35),MAX(1,N(IFERROR(INDEX(SPEC_CIRC,MATCH(INDEX(Equipment!$C$7:$C$18,MAX(1,N($W35))),SPEC_SKU,0)),1))))*N($F35)*INDEX(SZ_Z,MATCH(IF($L35&lt;&gt;"",$L35,$K35),SZ_SIZE,0))/1000/IF($V35="L2",N(Equipment!$B$30),Project!$B$29),""))</f>
        <v/>
      </c>
      <c r="P35" s="863">
        <f>IF(N($J35)=0,"",IFERROR(INDEX(IF($B$6="Cu",EGC_CU,EGC_AL),MATCH($J35,EGC_OCPD,1)+IF(ISNUMBER(MATCH($J35,EGC_OCPD,0)),0,1)),""))</f>
        <v/>
      </c>
      <c r="Q35" s="863">
        <f>IF(N($N35)=0,"",IFERROR(INDEX(IF($V35="L2",CND_2G,CND_3G),MATCH(IF($L35&lt;&gt;"",$L35,$K35),CND_SIZE,0)),""))</f>
        <v/>
      </c>
      <c r="R35" s="807" t="n"/>
      <c r="S35" s="867">
        <f>IF(OR(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863">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868">
        <f>IF($W35="",0,IF($E35="",1,IF(MATCH($E35,$E$18:$E$77,0)=18,1,0)))</f>
        <v/>
      </c>
      <c r="V35" s="869">
        <f>IF($W35="","",IF(INDEX(Equipment!$E$7:$E$18,$W35)="level_2","L2",IF(INDEX(Equipment!$E$7:$E$18,$W35)="power_cabinet","CAB","DC")))</f>
        <v/>
      </c>
      <c r="W35" s="868">
        <f>IF(N($B$80)&gt;=18,COUNTIF(Equipment!$S$7:$S$18,"&lt;18")+1,"")</f>
        <v/>
      </c>
      <c r="X35" s="868">
        <f>IF($U35&lt;&gt;1,"",IF(N($M35)&gt;0,N($M35),MAX(1,N(IFERROR(INDEX(SPEC_CIRC,MATCH(INDEX(Equipment!$C$7:$C$18,MAX(1,N($W35))),SPEC_SKU,0)),1)))))</f>
        <v/>
      </c>
    </row>
    <row r="36" ht="16" customHeight="1" s="254">
      <c r="A36" s="862">
        <f>IF($W36="","","Charger 19")</f>
        <v/>
      </c>
      <c r="B36" s="863">
        <f>IF($W36="","","Line "&amp;$W36&amp;" · "&amp;INDEX(Equipment!$C$7:$C$18,$W36)&amp;" · "&amp;INDEX(Equipment!$B$7:$B$18,$W36)&amp;" · #"&amp;(19-INDEX(Equipment!$R$7:$R$18,$W36)+1)&amp;" of "&amp;INDEX(Equipment!$I$7:$I$18,$W36))</f>
        <v/>
      </c>
      <c r="C36" s="863">
        <f>IF($W36="","",IF($V36="L2",TEXT(N(Equipment!$B$30),"0")&amp;" V 1-ph",TEXT(Project!$B$29,"0")&amp;" V 3-ph"))</f>
        <v/>
      </c>
      <c r="D36" s="864">
        <f>IF($W36="","",INDEX(Equipment!$G$7:$G$18,$W36))</f>
        <v/>
      </c>
      <c r="E36" s="807" t="n"/>
      <c r="F36" s="831" t="n"/>
      <c r="G36" s="807" t="n"/>
      <c r="H36" s="865">
        <f>IF($U36&lt;&gt;1,"",IF($E36="",N($D36),SUMIF($E$18:$E$77,$E36,$D$18:$D$77))*1000/(IF($V36="L2",N(Equipment!$B$30),Project!$B$29)*IF($V36="L2",1,SQRT(3))))</f>
        <v/>
      </c>
      <c r="I36" s="865">
        <f>IF(N($H36)=0,"",N($H36)*1.25)</f>
        <v/>
      </c>
      <c r="J36" s="865">
        <f>IF(N($I36)=0,"",IF(ISNUMBER(MATCH($I36,OCPD_LIST,0)),$I36,IF($I36&gt;MAX(OCPD_LIST),"ABOVE LIST",INDEX(OCPD_LIST,MATCH($I36,OCPD_LIST,1)+1))))</f>
        <v/>
      </c>
      <c r="K36" s="863">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807" t="n"/>
      <c r="M36" s="831" t="n"/>
      <c r="N36" s="865">
        <f>IF(OR(IF($L36&lt;&gt;"",$L36,$K36)="",IF($L36&lt;&gt;"",$L36,$K36)="PARALLEL SETS"),"",IFERROR(INDEX(SZ_AMP,MATCH(IF($L36&lt;&gt;"",$L36,$K36),SZ_SIZE,0))*IF(N($M36)&gt;0,N($M36),MAX(1,N(IFERROR(INDEX(SPEC_CIRC,MATCH(INDEX(Equipment!$C$7:$C$18,MAX(1,N($W36))),SPEC_SKU,0)),1)))),""))</f>
        <v/>
      </c>
      <c r="O36" s="866">
        <f>IF(OR(N($N36)=0,N($F36)=0),"",IFERROR(IF($V36="L2",2,SQRT(3))*N($H36)/IF(N($M36)&gt;0,N($M36),MAX(1,N(IFERROR(INDEX(SPEC_CIRC,MATCH(INDEX(Equipment!$C$7:$C$18,MAX(1,N($W36))),SPEC_SKU,0)),1))))*N($F36)*INDEX(SZ_Z,MATCH(IF($L36&lt;&gt;"",$L36,$K36),SZ_SIZE,0))/1000/IF($V36="L2",N(Equipment!$B$30),Project!$B$29),""))</f>
        <v/>
      </c>
      <c r="P36" s="863">
        <f>IF(N($J36)=0,"",IFERROR(INDEX(IF($B$6="Cu",EGC_CU,EGC_AL),MATCH($J36,EGC_OCPD,1)+IF(ISNUMBER(MATCH($J36,EGC_OCPD,0)),0,1)),""))</f>
        <v/>
      </c>
      <c r="Q36" s="863">
        <f>IF(N($N36)=0,"",IFERROR(INDEX(IF($V36="L2",CND_2G,CND_3G),MATCH(IF($L36&lt;&gt;"",$L36,$K36),CND_SIZE,0)),""))</f>
        <v/>
      </c>
      <c r="R36" s="807" t="n"/>
      <c r="S36" s="867">
        <f>IF(OR(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863">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868">
        <f>IF($W36="",0,IF($E36="",1,IF(MATCH($E36,$E$18:$E$77,0)=19,1,0)))</f>
        <v/>
      </c>
      <c r="V36" s="869">
        <f>IF($W36="","",IF(INDEX(Equipment!$E$7:$E$18,$W36)="level_2","L2",IF(INDEX(Equipment!$E$7:$E$18,$W36)="power_cabinet","CAB","DC")))</f>
        <v/>
      </c>
      <c r="W36" s="868">
        <f>IF(N($B$80)&gt;=19,COUNTIF(Equipment!$S$7:$S$18,"&lt;19")+1,"")</f>
        <v/>
      </c>
      <c r="X36" s="868">
        <f>IF($U36&lt;&gt;1,"",IF(N($M36)&gt;0,N($M36),MAX(1,N(IFERROR(INDEX(SPEC_CIRC,MATCH(INDEX(Equipment!$C$7:$C$18,MAX(1,N($W36))),SPEC_SKU,0)),1)))))</f>
        <v/>
      </c>
    </row>
    <row r="37" ht="16" customHeight="1" s="254">
      <c r="A37" s="862">
        <f>IF($W37="","","Charger 20")</f>
        <v/>
      </c>
      <c r="B37" s="863">
        <f>IF($W37="","","Line "&amp;$W37&amp;" · "&amp;INDEX(Equipment!$C$7:$C$18,$W37)&amp;" · "&amp;INDEX(Equipment!$B$7:$B$18,$W37)&amp;" · #"&amp;(20-INDEX(Equipment!$R$7:$R$18,$W37)+1)&amp;" of "&amp;INDEX(Equipment!$I$7:$I$18,$W37))</f>
        <v/>
      </c>
      <c r="C37" s="863">
        <f>IF($W37="","",IF($V37="L2",TEXT(N(Equipment!$B$30),"0")&amp;" V 1-ph",TEXT(Project!$B$29,"0")&amp;" V 3-ph"))</f>
        <v/>
      </c>
      <c r="D37" s="864">
        <f>IF($W37="","",INDEX(Equipment!$G$7:$G$18,$W37))</f>
        <v/>
      </c>
      <c r="E37" s="807" t="n"/>
      <c r="F37" s="831" t="n"/>
      <c r="G37" s="807" t="n"/>
      <c r="H37" s="865">
        <f>IF($U37&lt;&gt;1,"",IF($E37="",N($D37),SUMIF($E$18:$E$77,$E37,$D$18:$D$77))*1000/(IF($V37="L2",N(Equipment!$B$30),Project!$B$29)*IF($V37="L2",1,SQRT(3))))</f>
        <v/>
      </c>
      <c r="I37" s="865">
        <f>IF(N($H37)=0,"",N($H37)*1.25)</f>
        <v/>
      </c>
      <c r="J37" s="865">
        <f>IF(N($I37)=0,"",IF(ISNUMBER(MATCH($I37,OCPD_LIST,0)),$I37,IF($I37&gt;MAX(OCPD_LIST),"ABOVE LIST",INDEX(OCPD_LIST,MATCH($I37,OCPD_LIST,1)+1))))</f>
        <v/>
      </c>
      <c r="K37" s="863">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807" t="n"/>
      <c r="M37" s="831" t="n"/>
      <c r="N37" s="865">
        <f>IF(OR(IF($L37&lt;&gt;"",$L37,$K37)="",IF($L37&lt;&gt;"",$L37,$K37)="PARALLEL SETS"),"",IFERROR(INDEX(SZ_AMP,MATCH(IF($L37&lt;&gt;"",$L37,$K37),SZ_SIZE,0))*IF(N($M37)&gt;0,N($M37),MAX(1,N(IFERROR(INDEX(SPEC_CIRC,MATCH(INDEX(Equipment!$C$7:$C$18,MAX(1,N($W37))),SPEC_SKU,0)),1)))),""))</f>
        <v/>
      </c>
      <c r="O37" s="866">
        <f>IF(OR(N($N37)=0,N($F37)=0),"",IFERROR(IF($V37="L2",2,SQRT(3))*N($H37)/IF(N($M37)&gt;0,N($M37),MAX(1,N(IFERROR(INDEX(SPEC_CIRC,MATCH(INDEX(Equipment!$C$7:$C$18,MAX(1,N($W37))),SPEC_SKU,0)),1))))*N($F37)*INDEX(SZ_Z,MATCH(IF($L37&lt;&gt;"",$L37,$K37),SZ_SIZE,0))/1000/IF($V37="L2",N(Equipment!$B$30),Project!$B$29),""))</f>
        <v/>
      </c>
      <c r="P37" s="863">
        <f>IF(N($J37)=0,"",IFERROR(INDEX(IF($B$6="Cu",EGC_CU,EGC_AL),MATCH($J37,EGC_OCPD,1)+IF(ISNUMBER(MATCH($J37,EGC_OCPD,0)),0,1)),""))</f>
        <v/>
      </c>
      <c r="Q37" s="863">
        <f>IF(N($N37)=0,"",IFERROR(INDEX(IF($V37="L2",CND_2G,CND_3G),MATCH(IF($L37&lt;&gt;"",$L37,$K37),CND_SIZE,0)),""))</f>
        <v/>
      </c>
      <c r="R37" s="807" t="n"/>
      <c r="S37" s="867">
        <f>IF(OR(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863">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868">
        <f>IF($W37="",0,IF($E37="",1,IF(MATCH($E37,$E$18:$E$77,0)=20,1,0)))</f>
        <v/>
      </c>
      <c r="V37" s="869">
        <f>IF($W37="","",IF(INDEX(Equipment!$E$7:$E$18,$W37)="level_2","L2",IF(INDEX(Equipment!$E$7:$E$18,$W37)="power_cabinet","CAB","DC")))</f>
        <v/>
      </c>
      <c r="W37" s="868">
        <f>IF(N($B$80)&gt;=20,COUNTIF(Equipment!$S$7:$S$18,"&lt;20")+1,"")</f>
        <v/>
      </c>
      <c r="X37" s="868">
        <f>IF($U37&lt;&gt;1,"",IF(N($M37)&gt;0,N($M37),MAX(1,N(IFERROR(INDEX(SPEC_CIRC,MATCH(INDEX(Equipment!$C$7:$C$18,MAX(1,N($W37))),SPEC_SKU,0)),1)))))</f>
        <v/>
      </c>
    </row>
    <row r="38" ht="16" customHeight="1" s="254">
      <c r="A38" s="862">
        <f>IF($W38="","","Charger 21")</f>
        <v/>
      </c>
      <c r="B38" s="863">
        <f>IF($W38="","","Line "&amp;$W38&amp;" · "&amp;INDEX(Equipment!$C$7:$C$18,$W38)&amp;" · "&amp;INDEX(Equipment!$B$7:$B$18,$W38)&amp;" · #"&amp;(21-INDEX(Equipment!$R$7:$R$18,$W38)+1)&amp;" of "&amp;INDEX(Equipment!$I$7:$I$18,$W38))</f>
        <v/>
      </c>
      <c r="C38" s="863">
        <f>IF($W38="","",IF($V38="L2",TEXT(N(Equipment!$B$30),"0")&amp;" V 1-ph",TEXT(Project!$B$29,"0")&amp;" V 3-ph"))</f>
        <v/>
      </c>
      <c r="D38" s="864">
        <f>IF($W38="","",INDEX(Equipment!$G$7:$G$18,$W38))</f>
        <v/>
      </c>
      <c r="E38" s="807" t="n"/>
      <c r="F38" s="831" t="n"/>
      <c r="G38" s="807" t="n"/>
      <c r="H38" s="865">
        <f>IF($U38&lt;&gt;1,"",IF($E38="",N($D38),SUMIF($E$18:$E$77,$E38,$D$18:$D$77))*1000/(IF($V38="L2",N(Equipment!$B$30),Project!$B$29)*IF($V38="L2",1,SQRT(3))))</f>
        <v/>
      </c>
      <c r="I38" s="865">
        <f>IF(N($H38)=0,"",N($H38)*1.25)</f>
        <v/>
      </c>
      <c r="J38" s="865">
        <f>IF(N($I38)=0,"",IF(ISNUMBER(MATCH($I38,OCPD_LIST,0)),$I38,IF($I38&gt;MAX(OCPD_LIST),"ABOVE LIST",INDEX(OCPD_LIST,MATCH($I38,OCPD_LIST,1)+1))))</f>
        <v/>
      </c>
      <c r="K38" s="863">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807" t="n"/>
      <c r="M38" s="831" t="n"/>
      <c r="N38" s="865">
        <f>IF(OR(IF($L38&lt;&gt;"",$L38,$K38)="",IF($L38&lt;&gt;"",$L38,$K38)="PARALLEL SETS"),"",IFERROR(INDEX(SZ_AMP,MATCH(IF($L38&lt;&gt;"",$L38,$K38),SZ_SIZE,0))*IF(N($M38)&gt;0,N($M38),MAX(1,N(IFERROR(INDEX(SPEC_CIRC,MATCH(INDEX(Equipment!$C$7:$C$18,MAX(1,N($W38))),SPEC_SKU,0)),1)))),""))</f>
        <v/>
      </c>
      <c r="O38" s="866">
        <f>IF(OR(N($N38)=0,N($F38)=0),"",IFERROR(IF($V38="L2",2,SQRT(3))*N($H38)/IF(N($M38)&gt;0,N($M38),MAX(1,N(IFERROR(INDEX(SPEC_CIRC,MATCH(INDEX(Equipment!$C$7:$C$18,MAX(1,N($W38))),SPEC_SKU,0)),1))))*N($F38)*INDEX(SZ_Z,MATCH(IF($L38&lt;&gt;"",$L38,$K38),SZ_SIZE,0))/1000/IF($V38="L2",N(Equipment!$B$30),Project!$B$29),""))</f>
        <v/>
      </c>
      <c r="P38" s="863">
        <f>IF(N($J38)=0,"",IFERROR(INDEX(IF($B$6="Cu",EGC_CU,EGC_AL),MATCH($J38,EGC_OCPD,1)+IF(ISNUMBER(MATCH($J38,EGC_OCPD,0)),0,1)),""))</f>
        <v/>
      </c>
      <c r="Q38" s="863">
        <f>IF(N($N38)=0,"",IFERROR(INDEX(IF($V38="L2",CND_2G,CND_3G),MATCH(IF($L38&lt;&gt;"",$L38,$K38),CND_SIZE,0)),""))</f>
        <v/>
      </c>
      <c r="R38" s="807" t="n"/>
      <c r="S38" s="867">
        <f>IF(OR(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863">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868">
        <f>IF($W38="",0,IF($E38="",1,IF(MATCH($E38,$E$18:$E$77,0)=21,1,0)))</f>
        <v/>
      </c>
      <c r="V38" s="869">
        <f>IF($W38="","",IF(INDEX(Equipment!$E$7:$E$18,$W38)="level_2","L2",IF(INDEX(Equipment!$E$7:$E$18,$W38)="power_cabinet","CAB","DC")))</f>
        <v/>
      </c>
      <c r="W38" s="868">
        <f>IF(N($B$80)&gt;=21,COUNTIF(Equipment!$S$7:$S$18,"&lt;21")+1,"")</f>
        <v/>
      </c>
      <c r="X38" s="868">
        <f>IF($U38&lt;&gt;1,"",IF(N($M38)&gt;0,N($M38),MAX(1,N(IFERROR(INDEX(SPEC_CIRC,MATCH(INDEX(Equipment!$C$7:$C$18,MAX(1,N($W38))),SPEC_SKU,0)),1)))))</f>
        <v/>
      </c>
    </row>
    <row r="39" ht="16" customHeight="1" s="254">
      <c r="A39" s="862">
        <f>IF($W39="","","Charger 22")</f>
        <v/>
      </c>
      <c r="B39" s="863">
        <f>IF($W39="","","Line "&amp;$W39&amp;" · "&amp;INDEX(Equipment!$C$7:$C$18,$W39)&amp;" · "&amp;INDEX(Equipment!$B$7:$B$18,$W39)&amp;" · #"&amp;(22-INDEX(Equipment!$R$7:$R$18,$W39)+1)&amp;" of "&amp;INDEX(Equipment!$I$7:$I$18,$W39))</f>
        <v/>
      </c>
      <c r="C39" s="863">
        <f>IF($W39="","",IF($V39="L2",TEXT(N(Equipment!$B$30),"0")&amp;" V 1-ph",TEXT(Project!$B$29,"0")&amp;" V 3-ph"))</f>
        <v/>
      </c>
      <c r="D39" s="864">
        <f>IF($W39="","",INDEX(Equipment!$G$7:$G$18,$W39))</f>
        <v/>
      </c>
      <c r="E39" s="807" t="n"/>
      <c r="F39" s="831" t="n"/>
      <c r="G39" s="807" t="n"/>
      <c r="H39" s="865">
        <f>IF($U39&lt;&gt;1,"",IF($E39="",N($D39),SUMIF($E$18:$E$77,$E39,$D$18:$D$77))*1000/(IF($V39="L2",N(Equipment!$B$30),Project!$B$29)*IF($V39="L2",1,SQRT(3))))</f>
        <v/>
      </c>
      <c r="I39" s="865">
        <f>IF(N($H39)=0,"",N($H39)*1.25)</f>
        <v/>
      </c>
      <c r="J39" s="865">
        <f>IF(N($I39)=0,"",IF(ISNUMBER(MATCH($I39,OCPD_LIST,0)),$I39,IF($I39&gt;MAX(OCPD_LIST),"ABOVE LIST",INDEX(OCPD_LIST,MATCH($I39,OCPD_LIST,1)+1))))</f>
        <v/>
      </c>
      <c r="K39" s="863">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807" t="n"/>
      <c r="M39" s="831" t="n"/>
      <c r="N39" s="865">
        <f>IF(OR(IF($L39&lt;&gt;"",$L39,$K39)="",IF($L39&lt;&gt;"",$L39,$K39)="PARALLEL SETS"),"",IFERROR(INDEX(SZ_AMP,MATCH(IF($L39&lt;&gt;"",$L39,$K39),SZ_SIZE,0))*IF(N($M39)&gt;0,N($M39),MAX(1,N(IFERROR(INDEX(SPEC_CIRC,MATCH(INDEX(Equipment!$C$7:$C$18,MAX(1,N($W39))),SPEC_SKU,0)),1)))),""))</f>
        <v/>
      </c>
      <c r="O39" s="866">
        <f>IF(OR(N($N39)=0,N($F39)=0),"",IFERROR(IF($V39="L2",2,SQRT(3))*N($H39)/IF(N($M39)&gt;0,N($M39),MAX(1,N(IFERROR(INDEX(SPEC_CIRC,MATCH(INDEX(Equipment!$C$7:$C$18,MAX(1,N($W39))),SPEC_SKU,0)),1))))*N($F39)*INDEX(SZ_Z,MATCH(IF($L39&lt;&gt;"",$L39,$K39),SZ_SIZE,0))/1000/IF($V39="L2",N(Equipment!$B$30),Project!$B$29),""))</f>
        <v/>
      </c>
      <c r="P39" s="863">
        <f>IF(N($J39)=0,"",IFERROR(INDEX(IF($B$6="Cu",EGC_CU,EGC_AL),MATCH($J39,EGC_OCPD,1)+IF(ISNUMBER(MATCH($J39,EGC_OCPD,0)),0,1)),""))</f>
        <v/>
      </c>
      <c r="Q39" s="863">
        <f>IF(N($N39)=0,"",IFERROR(INDEX(IF($V39="L2",CND_2G,CND_3G),MATCH(IF($L39&lt;&gt;"",$L39,$K39),CND_SIZE,0)),""))</f>
        <v/>
      </c>
      <c r="R39" s="807" t="n"/>
      <c r="S39" s="867">
        <f>IF(OR(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863">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868">
        <f>IF($W39="",0,IF($E39="",1,IF(MATCH($E39,$E$18:$E$77,0)=22,1,0)))</f>
        <v/>
      </c>
      <c r="V39" s="869">
        <f>IF($W39="","",IF(INDEX(Equipment!$E$7:$E$18,$W39)="level_2","L2",IF(INDEX(Equipment!$E$7:$E$18,$W39)="power_cabinet","CAB","DC")))</f>
        <v/>
      </c>
      <c r="W39" s="868">
        <f>IF(N($B$80)&gt;=22,COUNTIF(Equipment!$S$7:$S$18,"&lt;22")+1,"")</f>
        <v/>
      </c>
      <c r="X39" s="868">
        <f>IF($U39&lt;&gt;1,"",IF(N($M39)&gt;0,N($M39),MAX(1,N(IFERROR(INDEX(SPEC_CIRC,MATCH(INDEX(Equipment!$C$7:$C$18,MAX(1,N($W39))),SPEC_SKU,0)),1)))))</f>
        <v/>
      </c>
    </row>
    <row r="40" ht="16" customHeight="1" s="254">
      <c r="A40" s="862">
        <f>IF($W40="","","Charger 23")</f>
        <v/>
      </c>
      <c r="B40" s="863">
        <f>IF($W40="","","Line "&amp;$W40&amp;" · "&amp;INDEX(Equipment!$C$7:$C$18,$W40)&amp;" · "&amp;INDEX(Equipment!$B$7:$B$18,$W40)&amp;" · #"&amp;(23-INDEX(Equipment!$R$7:$R$18,$W40)+1)&amp;" of "&amp;INDEX(Equipment!$I$7:$I$18,$W40))</f>
        <v/>
      </c>
      <c r="C40" s="863">
        <f>IF($W40="","",IF($V40="L2",TEXT(N(Equipment!$B$30),"0")&amp;" V 1-ph",TEXT(Project!$B$29,"0")&amp;" V 3-ph"))</f>
        <v/>
      </c>
      <c r="D40" s="864">
        <f>IF($W40="","",INDEX(Equipment!$G$7:$G$18,$W40))</f>
        <v/>
      </c>
      <c r="E40" s="807" t="n"/>
      <c r="F40" s="831" t="n"/>
      <c r="G40" s="807" t="n"/>
      <c r="H40" s="865">
        <f>IF($U40&lt;&gt;1,"",IF($E40="",N($D40),SUMIF($E$18:$E$77,$E40,$D$18:$D$77))*1000/(IF($V40="L2",N(Equipment!$B$30),Project!$B$29)*IF($V40="L2",1,SQRT(3))))</f>
        <v/>
      </c>
      <c r="I40" s="865">
        <f>IF(N($H40)=0,"",N($H40)*1.25)</f>
        <v/>
      </c>
      <c r="J40" s="865">
        <f>IF(N($I40)=0,"",IF(ISNUMBER(MATCH($I40,OCPD_LIST,0)),$I40,IF($I40&gt;MAX(OCPD_LIST),"ABOVE LIST",INDEX(OCPD_LIST,MATCH($I40,OCPD_LIST,1)+1))))</f>
        <v/>
      </c>
      <c r="K40" s="863">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807" t="n"/>
      <c r="M40" s="831" t="n"/>
      <c r="N40" s="865">
        <f>IF(OR(IF($L40&lt;&gt;"",$L40,$K40)="",IF($L40&lt;&gt;"",$L40,$K40)="PARALLEL SETS"),"",IFERROR(INDEX(SZ_AMP,MATCH(IF($L40&lt;&gt;"",$L40,$K40),SZ_SIZE,0))*IF(N($M40)&gt;0,N($M40),MAX(1,N(IFERROR(INDEX(SPEC_CIRC,MATCH(INDEX(Equipment!$C$7:$C$18,MAX(1,N($W40))),SPEC_SKU,0)),1)))),""))</f>
        <v/>
      </c>
      <c r="O40" s="866">
        <f>IF(OR(N($N40)=0,N($F40)=0),"",IFERROR(IF($V40="L2",2,SQRT(3))*N($H40)/IF(N($M40)&gt;0,N($M40),MAX(1,N(IFERROR(INDEX(SPEC_CIRC,MATCH(INDEX(Equipment!$C$7:$C$18,MAX(1,N($W40))),SPEC_SKU,0)),1))))*N($F40)*INDEX(SZ_Z,MATCH(IF($L40&lt;&gt;"",$L40,$K40),SZ_SIZE,0))/1000/IF($V40="L2",N(Equipment!$B$30),Project!$B$29),""))</f>
        <v/>
      </c>
      <c r="P40" s="863">
        <f>IF(N($J40)=0,"",IFERROR(INDEX(IF($B$6="Cu",EGC_CU,EGC_AL),MATCH($J40,EGC_OCPD,1)+IF(ISNUMBER(MATCH($J40,EGC_OCPD,0)),0,1)),""))</f>
        <v/>
      </c>
      <c r="Q40" s="863">
        <f>IF(N($N40)=0,"",IFERROR(INDEX(IF($V40="L2",CND_2G,CND_3G),MATCH(IF($L40&lt;&gt;"",$L40,$K40),CND_SIZE,0)),""))</f>
        <v/>
      </c>
      <c r="R40" s="807" t="n"/>
      <c r="S40" s="867">
        <f>IF(OR(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863">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868">
        <f>IF($W40="",0,IF($E40="",1,IF(MATCH($E40,$E$18:$E$77,0)=23,1,0)))</f>
        <v/>
      </c>
      <c r="V40" s="869">
        <f>IF($W40="","",IF(INDEX(Equipment!$E$7:$E$18,$W40)="level_2","L2",IF(INDEX(Equipment!$E$7:$E$18,$W40)="power_cabinet","CAB","DC")))</f>
        <v/>
      </c>
      <c r="W40" s="868">
        <f>IF(N($B$80)&gt;=23,COUNTIF(Equipment!$S$7:$S$18,"&lt;23")+1,"")</f>
        <v/>
      </c>
      <c r="X40" s="868">
        <f>IF($U40&lt;&gt;1,"",IF(N($M40)&gt;0,N($M40),MAX(1,N(IFERROR(INDEX(SPEC_CIRC,MATCH(INDEX(Equipment!$C$7:$C$18,MAX(1,N($W40))),SPEC_SKU,0)),1)))))</f>
        <v/>
      </c>
    </row>
    <row r="41" ht="16" customHeight="1" s="254">
      <c r="A41" s="862">
        <f>IF($W41="","","Charger 24")</f>
        <v/>
      </c>
      <c r="B41" s="863">
        <f>IF($W41="","","Line "&amp;$W41&amp;" · "&amp;INDEX(Equipment!$C$7:$C$18,$W41)&amp;" · "&amp;INDEX(Equipment!$B$7:$B$18,$W41)&amp;" · #"&amp;(24-INDEX(Equipment!$R$7:$R$18,$W41)+1)&amp;" of "&amp;INDEX(Equipment!$I$7:$I$18,$W41))</f>
        <v/>
      </c>
      <c r="C41" s="863">
        <f>IF($W41="","",IF($V41="L2",TEXT(N(Equipment!$B$30),"0")&amp;" V 1-ph",TEXT(Project!$B$29,"0")&amp;" V 3-ph"))</f>
        <v/>
      </c>
      <c r="D41" s="864">
        <f>IF($W41="","",INDEX(Equipment!$G$7:$G$18,$W41))</f>
        <v/>
      </c>
      <c r="E41" s="807" t="n"/>
      <c r="F41" s="831" t="n"/>
      <c r="G41" s="807" t="n"/>
      <c r="H41" s="865">
        <f>IF($U41&lt;&gt;1,"",IF($E41="",N($D41),SUMIF($E$18:$E$77,$E41,$D$18:$D$77))*1000/(IF($V41="L2",N(Equipment!$B$30),Project!$B$29)*IF($V41="L2",1,SQRT(3))))</f>
        <v/>
      </c>
      <c r="I41" s="865">
        <f>IF(N($H41)=0,"",N($H41)*1.25)</f>
        <v/>
      </c>
      <c r="J41" s="865">
        <f>IF(N($I41)=0,"",IF(ISNUMBER(MATCH($I41,OCPD_LIST,0)),$I41,IF($I41&gt;MAX(OCPD_LIST),"ABOVE LIST",INDEX(OCPD_LIST,MATCH($I41,OCPD_LIST,1)+1))))</f>
        <v/>
      </c>
      <c r="K41" s="863">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807" t="n"/>
      <c r="M41" s="831" t="n"/>
      <c r="N41" s="865">
        <f>IF(OR(IF($L41&lt;&gt;"",$L41,$K41)="",IF($L41&lt;&gt;"",$L41,$K41)="PARALLEL SETS"),"",IFERROR(INDEX(SZ_AMP,MATCH(IF($L41&lt;&gt;"",$L41,$K41),SZ_SIZE,0))*IF(N($M41)&gt;0,N($M41),MAX(1,N(IFERROR(INDEX(SPEC_CIRC,MATCH(INDEX(Equipment!$C$7:$C$18,MAX(1,N($W41))),SPEC_SKU,0)),1)))),""))</f>
        <v/>
      </c>
      <c r="O41" s="866">
        <f>IF(OR(N($N41)=0,N($F41)=0),"",IFERROR(IF($V41="L2",2,SQRT(3))*N($H41)/IF(N($M41)&gt;0,N($M41),MAX(1,N(IFERROR(INDEX(SPEC_CIRC,MATCH(INDEX(Equipment!$C$7:$C$18,MAX(1,N($W41))),SPEC_SKU,0)),1))))*N($F41)*INDEX(SZ_Z,MATCH(IF($L41&lt;&gt;"",$L41,$K41),SZ_SIZE,0))/1000/IF($V41="L2",N(Equipment!$B$30),Project!$B$29),""))</f>
        <v/>
      </c>
      <c r="P41" s="863">
        <f>IF(N($J41)=0,"",IFERROR(INDEX(IF($B$6="Cu",EGC_CU,EGC_AL),MATCH($J41,EGC_OCPD,1)+IF(ISNUMBER(MATCH($J41,EGC_OCPD,0)),0,1)),""))</f>
        <v/>
      </c>
      <c r="Q41" s="863">
        <f>IF(N($N41)=0,"",IFERROR(INDEX(IF($V41="L2",CND_2G,CND_3G),MATCH(IF($L41&lt;&gt;"",$L41,$K41),CND_SIZE,0)),""))</f>
        <v/>
      </c>
      <c r="R41" s="807" t="n"/>
      <c r="S41" s="867">
        <f>IF(OR(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863">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868">
        <f>IF($W41="",0,IF($E41="",1,IF(MATCH($E41,$E$18:$E$77,0)=24,1,0)))</f>
        <v/>
      </c>
      <c r="V41" s="869">
        <f>IF($W41="","",IF(INDEX(Equipment!$E$7:$E$18,$W41)="level_2","L2",IF(INDEX(Equipment!$E$7:$E$18,$W41)="power_cabinet","CAB","DC")))</f>
        <v/>
      </c>
      <c r="W41" s="868">
        <f>IF(N($B$80)&gt;=24,COUNTIF(Equipment!$S$7:$S$18,"&lt;24")+1,"")</f>
        <v/>
      </c>
      <c r="X41" s="868">
        <f>IF($U41&lt;&gt;1,"",IF(N($M41)&gt;0,N($M41),MAX(1,N(IFERROR(INDEX(SPEC_CIRC,MATCH(INDEX(Equipment!$C$7:$C$18,MAX(1,N($W41))),SPEC_SKU,0)),1)))))</f>
        <v/>
      </c>
    </row>
    <row r="42" ht="16" customHeight="1" s="254">
      <c r="A42" s="862">
        <f>IF($W42="","","Charger 25")</f>
        <v/>
      </c>
      <c r="B42" s="863">
        <f>IF($W42="","","Line "&amp;$W42&amp;" · "&amp;INDEX(Equipment!$C$7:$C$18,$W42)&amp;" · "&amp;INDEX(Equipment!$B$7:$B$18,$W42)&amp;" · #"&amp;(25-INDEX(Equipment!$R$7:$R$18,$W42)+1)&amp;" of "&amp;INDEX(Equipment!$I$7:$I$18,$W42))</f>
        <v/>
      </c>
      <c r="C42" s="863">
        <f>IF($W42="","",IF($V42="L2",TEXT(N(Equipment!$B$30),"0")&amp;" V 1-ph",TEXT(Project!$B$29,"0")&amp;" V 3-ph"))</f>
        <v/>
      </c>
      <c r="D42" s="864">
        <f>IF($W42="","",INDEX(Equipment!$G$7:$G$18,$W42))</f>
        <v/>
      </c>
      <c r="E42" s="807" t="n"/>
      <c r="F42" s="831" t="n"/>
      <c r="G42" s="807" t="n"/>
      <c r="H42" s="865">
        <f>IF($U42&lt;&gt;1,"",IF($E42="",N($D42),SUMIF($E$18:$E$77,$E42,$D$18:$D$77))*1000/(IF($V42="L2",N(Equipment!$B$30),Project!$B$29)*IF($V42="L2",1,SQRT(3))))</f>
        <v/>
      </c>
      <c r="I42" s="865">
        <f>IF(N($H42)=0,"",N($H42)*1.25)</f>
        <v/>
      </c>
      <c r="J42" s="865">
        <f>IF(N($I42)=0,"",IF(ISNUMBER(MATCH($I42,OCPD_LIST,0)),$I42,IF($I42&gt;MAX(OCPD_LIST),"ABOVE LIST",INDEX(OCPD_LIST,MATCH($I42,OCPD_LIST,1)+1))))</f>
        <v/>
      </c>
      <c r="K42" s="863">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807" t="n"/>
      <c r="M42" s="831" t="n"/>
      <c r="N42" s="865">
        <f>IF(OR(IF($L42&lt;&gt;"",$L42,$K42)="",IF($L42&lt;&gt;"",$L42,$K42)="PARALLEL SETS"),"",IFERROR(INDEX(SZ_AMP,MATCH(IF($L42&lt;&gt;"",$L42,$K42),SZ_SIZE,0))*IF(N($M42)&gt;0,N($M42),MAX(1,N(IFERROR(INDEX(SPEC_CIRC,MATCH(INDEX(Equipment!$C$7:$C$18,MAX(1,N($W42))),SPEC_SKU,0)),1)))),""))</f>
        <v/>
      </c>
      <c r="O42" s="866">
        <f>IF(OR(N($N42)=0,N($F42)=0),"",IFERROR(IF($V42="L2",2,SQRT(3))*N($H42)/IF(N($M42)&gt;0,N($M42),MAX(1,N(IFERROR(INDEX(SPEC_CIRC,MATCH(INDEX(Equipment!$C$7:$C$18,MAX(1,N($W42))),SPEC_SKU,0)),1))))*N($F42)*INDEX(SZ_Z,MATCH(IF($L42&lt;&gt;"",$L42,$K42),SZ_SIZE,0))/1000/IF($V42="L2",N(Equipment!$B$30),Project!$B$29),""))</f>
        <v/>
      </c>
      <c r="P42" s="863">
        <f>IF(N($J42)=0,"",IFERROR(INDEX(IF($B$6="Cu",EGC_CU,EGC_AL),MATCH($J42,EGC_OCPD,1)+IF(ISNUMBER(MATCH($J42,EGC_OCPD,0)),0,1)),""))</f>
        <v/>
      </c>
      <c r="Q42" s="863">
        <f>IF(N($N42)=0,"",IFERROR(INDEX(IF($V42="L2",CND_2G,CND_3G),MATCH(IF($L42&lt;&gt;"",$L42,$K42),CND_SIZE,0)),""))</f>
        <v/>
      </c>
      <c r="R42" s="807" t="n"/>
      <c r="S42" s="867">
        <f>IF(OR(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863">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868">
        <f>IF($W42="",0,IF($E42="",1,IF(MATCH($E42,$E$18:$E$77,0)=25,1,0)))</f>
        <v/>
      </c>
      <c r="V42" s="869">
        <f>IF($W42="","",IF(INDEX(Equipment!$E$7:$E$18,$W42)="level_2","L2",IF(INDEX(Equipment!$E$7:$E$18,$W42)="power_cabinet","CAB","DC")))</f>
        <v/>
      </c>
      <c r="W42" s="868">
        <f>IF(N($B$80)&gt;=25,COUNTIF(Equipment!$S$7:$S$18,"&lt;25")+1,"")</f>
        <v/>
      </c>
      <c r="X42" s="868">
        <f>IF($U42&lt;&gt;1,"",IF(N($M42)&gt;0,N($M42),MAX(1,N(IFERROR(INDEX(SPEC_CIRC,MATCH(INDEX(Equipment!$C$7:$C$18,MAX(1,N($W42))),SPEC_SKU,0)),1)))))</f>
        <v/>
      </c>
    </row>
    <row r="43" ht="16" customHeight="1" s="254">
      <c r="A43" s="862">
        <f>IF($W43="","","Charger 26")</f>
        <v/>
      </c>
      <c r="B43" s="863">
        <f>IF($W43="","","Line "&amp;$W43&amp;" · "&amp;INDEX(Equipment!$C$7:$C$18,$W43)&amp;" · "&amp;INDEX(Equipment!$B$7:$B$18,$W43)&amp;" · #"&amp;(26-INDEX(Equipment!$R$7:$R$18,$W43)+1)&amp;" of "&amp;INDEX(Equipment!$I$7:$I$18,$W43))</f>
        <v/>
      </c>
      <c r="C43" s="863">
        <f>IF($W43="","",IF($V43="L2",TEXT(N(Equipment!$B$30),"0")&amp;" V 1-ph",TEXT(Project!$B$29,"0")&amp;" V 3-ph"))</f>
        <v/>
      </c>
      <c r="D43" s="864">
        <f>IF($W43="","",INDEX(Equipment!$G$7:$G$18,$W43))</f>
        <v/>
      </c>
      <c r="E43" s="807" t="n"/>
      <c r="F43" s="831" t="n"/>
      <c r="G43" s="807" t="n"/>
      <c r="H43" s="865">
        <f>IF($U43&lt;&gt;1,"",IF($E43="",N($D43),SUMIF($E$18:$E$77,$E43,$D$18:$D$77))*1000/(IF($V43="L2",N(Equipment!$B$30),Project!$B$29)*IF($V43="L2",1,SQRT(3))))</f>
        <v/>
      </c>
      <c r="I43" s="865">
        <f>IF(N($H43)=0,"",N($H43)*1.25)</f>
        <v/>
      </c>
      <c r="J43" s="865">
        <f>IF(N($I43)=0,"",IF(ISNUMBER(MATCH($I43,OCPD_LIST,0)),$I43,IF($I43&gt;MAX(OCPD_LIST),"ABOVE LIST",INDEX(OCPD_LIST,MATCH($I43,OCPD_LIST,1)+1))))</f>
        <v/>
      </c>
      <c r="K43" s="863">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807" t="n"/>
      <c r="M43" s="831" t="n"/>
      <c r="N43" s="865">
        <f>IF(OR(IF($L43&lt;&gt;"",$L43,$K43)="",IF($L43&lt;&gt;"",$L43,$K43)="PARALLEL SETS"),"",IFERROR(INDEX(SZ_AMP,MATCH(IF($L43&lt;&gt;"",$L43,$K43),SZ_SIZE,0))*IF(N($M43)&gt;0,N($M43),MAX(1,N(IFERROR(INDEX(SPEC_CIRC,MATCH(INDEX(Equipment!$C$7:$C$18,MAX(1,N($W43))),SPEC_SKU,0)),1)))),""))</f>
        <v/>
      </c>
      <c r="O43" s="866">
        <f>IF(OR(N($N43)=0,N($F43)=0),"",IFERROR(IF($V43="L2",2,SQRT(3))*N($H43)/IF(N($M43)&gt;0,N($M43),MAX(1,N(IFERROR(INDEX(SPEC_CIRC,MATCH(INDEX(Equipment!$C$7:$C$18,MAX(1,N($W43))),SPEC_SKU,0)),1))))*N($F43)*INDEX(SZ_Z,MATCH(IF($L43&lt;&gt;"",$L43,$K43),SZ_SIZE,0))/1000/IF($V43="L2",N(Equipment!$B$30),Project!$B$29),""))</f>
        <v/>
      </c>
      <c r="P43" s="863">
        <f>IF(N($J43)=0,"",IFERROR(INDEX(IF($B$6="Cu",EGC_CU,EGC_AL),MATCH($J43,EGC_OCPD,1)+IF(ISNUMBER(MATCH($J43,EGC_OCPD,0)),0,1)),""))</f>
        <v/>
      </c>
      <c r="Q43" s="863">
        <f>IF(N($N43)=0,"",IFERROR(INDEX(IF($V43="L2",CND_2G,CND_3G),MATCH(IF($L43&lt;&gt;"",$L43,$K43),CND_SIZE,0)),""))</f>
        <v/>
      </c>
      <c r="R43" s="807" t="n"/>
      <c r="S43" s="867">
        <f>IF(OR(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863">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868">
        <f>IF($W43="",0,IF($E43="",1,IF(MATCH($E43,$E$18:$E$77,0)=26,1,0)))</f>
        <v/>
      </c>
      <c r="V43" s="869">
        <f>IF($W43="","",IF(INDEX(Equipment!$E$7:$E$18,$W43)="level_2","L2",IF(INDEX(Equipment!$E$7:$E$18,$W43)="power_cabinet","CAB","DC")))</f>
        <v/>
      </c>
      <c r="W43" s="868">
        <f>IF(N($B$80)&gt;=26,COUNTIF(Equipment!$S$7:$S$18,"&lt;26")+1,"")</f>
        <v/>
      </c>
      <c r="X43" s="868">
        <f>IF($U43&lt;&gt;1,"",IF(N($M43)&gt;0,N($M43),MAX(1,N(IFERROR(INDEX(SPEC_CIRC,MATCH(INDEX(Equipment!$C$7:$C$18,MAX(1,N($W43))),SPEC_SKU,0)),1)))))</f>
        <v/>
      </c>
    </row>
    <row r="44" ht="16" customHeight="1" s="254">
      <c r="A44" s="862">
        <f>IF($W44="","","Charger 27")</f>
        <v/>
      </c>
      <c r="B44" s="863">
        <f>IF($W44="","","Line "&amp;$W44&amp;" · "&amp;INDEX(Equipment!$C$7:$C$18,$W44)&amp;" · "&amp;INDEX(Equipment!$B$7:$B$18,$W44)&amp;" · #"&amp;(27-INDEX(Equipment!$R$7:$R$18,$W44)+1)&amp;" of "&amp;INDEX(Equipment!$I$7:$I$18,$W44))</f>
        <v/>
      </c>
      <c r="C44" s="863">
        <f>IF($W44="","",IF($V44="L2",TEXT(N(Equipment!$B$30),"0")&amp;" V 1-ph",TEXT(Project!$B$29,"0")&amp;" V 3-ph"))</f>
        <v/>
      </c>
      <c r="D44" s="864">
        <f>IF($W44="","",INDEX(Equipment!$G$7:$G$18,$W44))</f>
        <v/>
      </c>
      <c r="E44" s="807" t="n"/>
      <c r="F44" s="831" t="n"/>
      <c r="G44" s="807" t="n"/>
      <c r="H44" s="865">
        <f>IF($U44&lt;&gt;1,"",IF($E44="",N($D44),SUMIF($E$18:$E$77,$E44,$D$18:$D$77))*1000/(IF($V44="L2",N(Equipment!$B$30),Project!$B$29)*IF($V44="L2",1,SQRT(3))))</f>
        <v/>
      </c>
      <c r="I44" s="865">
        <f>IF(N($H44)=0,"",N($H44)*1.25)</f>
        <v/>
      </c>
      <c r="J44" s="865">
        <f>IF(N($I44)=0,"",IF(ISNUMBER(MATCH($I44,OCPD_LIST,0)),$I44,IF($I44&gt;MAX(OCPD_LIST),"ABOVE LIST",INDEX(OCPD_LIST,MATCH($I44,OCPD_LIST,1)+1))))</f>
        <v/>
      </c>
      <c r="K44" s="863">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807" t="n"/>
      <c r="M44" s="831" t="n"/>
      <c r="N44" s="865">
        <f>IF(OR(IF($L44&lt;&gt;"",$L44,$K44)="",IF($L44&lt;&gt;"",$L44,$K44)="PARALLEL SETS"),"",IFERROR(INDEX(SZ_AMP,MATCH(IF($L44&lt;&gt;"",$L44,$K44),SZ_SIZE,0))*IF(N($M44)&gt;0,N($M44),MAX(1,N(IFERROR(INDEX(SPEC_CIRC,MATCH(INDEX(Equipment!$C$7:$C$18,MAX(1,N($W44))),SPEC_SKU,0)),1)))),""))</f>
        <v/>
      </c>
      <c r="O44" s="866">
        <f>IF(OR(N($N44)=0,N($F44)=0),"",IFERROR(IF($V44="L2",2,SQRT(3))*N($H44)/IF(N($M44)&gt;0,N($M44),MAX(1,N(IFERROR(INDEX(SPEC_CIRC,MATCH(INDEX(Equipment!$C$7:$C$18,MAX(1,N($W44))),SPEC_SKU,0)),1))))*N($F44)*INDEX(SZ_Z,MATCH(IF($L44&lt;&gt;"",$L44,$K44),SZ_SIZE,0))/1000/IF($V44="L2",N(Equipment!$B$30),Project!$B$29),""))</f>
        <v/>
      </c>
      <c r="P44" s="863">
        <f>IF(N($J44)=0,"",IFERROR(INDEX(IF($B$6="Cu",EGC_CU,EGC_AL),MATCH($J44,EGC_OCPD,1)+IF(ISNUMBER(MATCH($J44,EGC_OCPD,0)),0,1)),""))</f>
        <v/>
      </c>
      <c r="Q44" s="863">
        <f>IF(N($N44)=0,"",IFERROR(INDEX(IF($V44="L2",CND_2G,CND_3G),MATCH(IF($L44&lt;&gt;"",$L44,$K44),CND_SIZE,0)),""))</f>
        <v/>
      </c>
      <c r="R44" s="807" t="n"/>
      <c r="S44" s="867">
        <f>IF(OR(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863">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868">
        <f>IF($W44="",0,IF($E44="",1,IF(MATCH($E44,$E$18:$E$77,0)=27,1,0)))</f>
        <v/>
      </c>
      <c r="V44" s="869">
        <f>IF($W44="","",IF(INDEX(Equipment!$E$7:$E$18,$W44)="level_2","L2",IF(INDEX(Equipment!$E$7:$E$18,$W44)="power_cabinet","CAB","DC")))</f>
        <v/>
      </c>
      <c r="W44" s="868">
        <f>IF(N($B$80)&gt;=27,COUNTIF(Equipment!$S$7:$S$18,"&lt;27")+1,"")</f>
        <v/>
      </c>
      <c r="X44" s="868">
        <f>IF($U44&lt;&gt;1,"",IF(N($M44)&gt;0,N($M44),MAX(1,N(IFERROR(INDEX(SPEC_CIRC,MATCH(INDEX(Equipment!$C$7:$C$18,MAX(1,N($W44))),SPEC_SKU,0)),1)))))</f>
        <v/>
      </c>
    </row>
    <row r="45" ht="16" customHeight="1" s="254">
      <c r="A45" s="862">
        <f>IF($W45="","","Charger 28")</f>
        <v/>
      </c>
      <c r="B45" s="863">
        <f>IF($W45="","","Line "&amp;$W45&amp;" · "&amp;INDEX(Equipment!$C$7:$C$18,$W45)&amp;" · "&amp;INDEX(Equipment!$B$7:$B$18,$W45)&amp;" · #"&amp;(28-INDEX(Equipment!$R$7:$R$18,$W45)+1)&amp;" of "&amp;INDEX(Equipment!$I$7:$I$18,$W45))</f>
        <v/>
      </c>
      <c r="C45" s="863">
        <f>IF($W45="","",IF($V45="L2",TEXT(N(Equipment!$B$30),"0")&amp;" V 1-ph",TEXT(Project!$B$29,"0")&amp;" V 3-ph"))</f>
        <v/>
      </c>
      <c r="D45" s="864">
        <f>IF($W45="","",INDEX(Equipment!$G$7:$G$18,$W45))</f>
        <v/>
      </c>
      <c r="E45" s="807" t="n"/>
      <c r="F45" s="831" t="n"/>
      <c r="G45" s="807" t="n"/>
      <c r="H45" s="865">
        <f>IF($U45&lt;&gt;1,"",IF($E45="",N($D45),SUMIF($E$18:$E$77,$E45,$D$18:$D$77))*1000/(IF($V45="L2",N(Equipment!$B$30),Project!$B$29)*IF($V45="L2",1,SQRT(3))))</f>
        <v/>
      </c>
      <c r="I45" s="865">
        <f>IF(N($H45)=0,"",N($H45)*1.25)</f>
        <v/>
      </c>
      <c r="J45" s="865">
        <f>IF(N($I45)=0,"",IF(ISNUMBER(MATCH($I45,OCPD_LIST,0)),$I45,IF($I45&gt;MAX(OCPD_LIST),"ABOVE LIST",INDEX(OCPD_LIST,MATCH($I45,OCPD_LIST,1)+1))))</f>
        <v/>
      </c>
      <c r="K45" s="863">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807" t="n"/>
      <c r="M45" s="831" t="n"/>
      <c r="N45" s="865">
        <f>IF(OR(IF($L45&lt;&gt;"",$L45,$K45)="",IF($L45&lt;&gt;"",$L45,$K45)="PARALLEL SETS"),"",IFERROR(INDEX(SZ_AMP,MATCH(IF($L45&lt;&gt;"",$L45,$K45),SZ_SIZE,0))*IF(N($M45)&gt;0,N($M45),MAX(1,N(IFERROR(INDEX(SPEC_CIRC,MATCH(INDEX(Equipment!$C$7:$C$18,MAX(1,N($W45))),SPEC_SKU,0)),1)))),""))</f>
        <v/>
      </c>
      <c r="O45" s="866">
        <f>IF(OR(N($N45)=0,N($F45)=0),"",IFERROR(IF($V45="L2",2,SQRT(3))*N($H45)/IF(N($M45)&gt;0,N($M45),MAX(1,N(IFERROR(INDEX(SPEC_CIRC,MATCH(INDEX(Equipment!$C$7:$C$18,MAX(1,N($W45))),SPEC_SKU,0)),1))))*N($F45)*INDEX(SZ_Z,MATCH(IF($L45&lt;&gt;"",$L45,$K45),SZ_SIZE,0))/1000/IF($V45="L2",N(Equipment!$B$30),Project!$B$29),""))</f>
        <v/>
      </c>
      <c r="P45" s="863">
        <f>IF(N($J45)=0,"",IFERROR(INDEX(IF($B$6="Cu",EGC_CU,EGC_AL),MATCH($J45,EGC_OCPD,1)+IF(ISNUMBER(MATCH($J45,EGC_OCPD,0)),0,1)),""))</f>
        <v/>
      </c>
      <c r="Q45" s="863">
        <f>IF(N($N45)=0,"",IFERROR(INDEX(IF($V45="L2",CND_2G,CND_3G),MATCH(IF($L45&lt;&gt;"",$L45,$K45),CND_SIZE,0)),""))</f>
        <v/>
      </c>
      <c r="R45" s="807" t="n"/>
      <c r="S45" s="867">
        <f>IF(OR(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863">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868">
        <f>IF($W45="",0,IF($E45="",1,IF(MATCH($E45,$E$18:$E$77,0)=28,1,0)))</f>
        <v/>
      </c>
      <c r="V45" s="869">
        <f>IF($W45="","",IF(INDEX(Equipment!$E$7:$E$18,$W45)="level_2","L2",IF(INDEX(Equipment!$E$7:$E$18,$W45)="power_cabinet","CAB","DC")))</f>
        <v/>
      </c>
      <c r="W45" s="868">
        <f>IF(N($B$80)&gt;=28,COUNTIF(Equipment!$S$7:$S$18,"&lt;28")+1,"")</f>
        <v/>
      </c>
      <c r="X45" s="868">
        <f>IF($U45&lt;&gt;1,"",IF(N($M45)&gt;0,N($M45),MAX(1,N(IFERROR(INDEX(SPEC_CIRC,MATCH(INDEX(Equipment!$C$7:$C$18,MAX(1,N($W45))),SPEC_SKU,0)),1)))))</f>
        <v/>
      </c>
    </row>
    <row r="46" ht="16" customHeight="1" s="254">
      <c r="A46" s="862">
        <f>IF($W46="","","Charger 29")</f>
        <v/>
      </c>
      <c r="B46" s="863">
        <f>IF($W46="","","Line "&amp;$W46&amp;" · "&amp;INDEX(Equipment!$C$7:$C$18,$W46)&amp;" · "&amp;INDEX(Equipment!$B$7:$B$18,$W46)&amp;" · #"&amp;(29-INDEX(Equipment!$R$7:$R$18,$W46)+1)&amp;" of "&amp;INDEX(Equipment!$I$7:$I$18,$W46))</f>
        <v/>
      </c>
      <c r="C46" s="863">
        <f>IF($W46="","",IF($V46="L2",TEXT(N(Equipment!$B$30),"0")&amp;" V 1-ph",TEXT(Project!$B$29,"0")&amp;" V 3-ph"))</f>
        <v/>
      </c>
      <c r="D46" s="864">
        <f>IF($W46="","",INDEX(Equipment!$G$7:$G$18,$W46))</f>
        <v/>
      </c>
      <c r="E46" s="807" t="n"/>
      <c r="F46" s="831" t="n"/>
      <c r="G46" s="807" t="n"/>
      <c r="H46" s="865">
        <f>IF($U46&lt;&gt;1,"",IF($E46="",N($D46),SUMIF($E$18:$E$77,$E46,$D$18:$D$77))*1000/(IF($V46="L2",N(Equipment!$B$30),Project!$B$29)*IF($V46="L2",1,SQRT(3))))</f>
        <v/>
      </c>
      <c r="I46" s="865">
        <f>IF(N($H46)=0,"",N($H46)*1.25)</f>
        <v/>
      </c>
      <c r="J46" s="865">
        <f>IF(N($I46)=0,"",IF(ISNUMBER(MATCH($I46,OCPD_LIST,0)),$I46,IF($I46&gt;MAX(OCPD_LIST),"ABOVE LIST",INDEX(OCPD_LIST,MATCH($I46,OCPD_LIST,1)+1))))</f>
        <v/>
      </c>
      <c r="K46" s="863">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807" t="n"/>
      <c r="M46" s="831" t="n"/>
      <c r="N46" s="865">
        <f>IF(OR(IF($L46&lt;&gt;"",$L46,$K46)="",IF($L46&lt;&gt;"",$L46,$K46)="PARALLEL SETS"),"",IFERROR(INDEX(SZ_AMP,MATCH(IF($L46&lt;&gt;"",$L46,$K46),SZ_SIZE,0))*IF(N($M46)&gt;0,N($M46),MAX(1,N(IFERROR(INDEX(SPEC_CIRC,MATCH(INDEX(Equipment!$C$7:$C$18,MAX(1,N($W46))),SPEC_SKU,0)),1)))),""))</f>
        <v/>
      </c>
      <c r="O46" s="866">
        <f>IF(OR(N($N46)=0,N($F46)=0),"",IFERROR(IF($V46="L2",2,SQRT(3))*N($H46)/IF(N($M46)&gt;0,N($M46),MAX(1,N(IFERROR(INDEX(SPEC_CIRC,MATCH(INDEX(Equipment!$C$7:$C$18,MAX(1,N($W46))),SPEC_SKU,0)),1))))*N($F46)*INDEX(SZ_Z,MATCH(IF($L46&lt;&gt;"",$L46,$K46),SZ_SIZE,0))/1000/IF($V46="L2",N(Equipment!$B$30),Project!$B$29),""))</f>
        <v/>
      </c>
      <c r="P46" s="863">
        <f>IF(N($J46)=0,"",IFERROR(INDEX(IF($B$6="Cu",EGC_CU,EGC_AL),MATCH($J46,EGC_OCPD,1)+IF(ISNUMBER(MATCH($J46,EGC_OCPD,0)),0,1)),""))</f>
        <v/>
      </c>
      <c r="Q46" s="863">
        <f>IF(N($N46)=0,"",IFERROR(INDEX(IF($V46="L2",CND_2G,CND_3G),MATCH(IF($L46&lt;&gt;"",$L46,$K46),CND_SIZE,0)),""))</f>
        <v/>
      </c>
      <c r="R46" s="807" t="n"/>
      <c r="S46" s="867">
        <f>IF(OR(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863">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868">
        <f>IF($W46="",0,IF($E46="",1,IF(MATCH($E46,$E$18:$E$77,0)=29,1,0)))</f>
        <v/>
      </c>
      <c r="V46" s="869">
        <f>IF($W46="","",IF(INDEX(Equipment!$E$7:$E$18,$W46)="level_2","L2",IF(INDEX(Equipment!$E$7:$E$18,$W46)="power_cabinet","CAB","DC")))</f>
        <v/>
      </c>
      <c r="W46" s="868">
        <f>IF(N($B$80)&gt;=29,COUNTIF(Equipment!$S$7:$S$18,"&lt;29")+1,"")</f>
        <v/>
      </c>
      <c r="X46" s="868">
        <f>IF($U46&lt;&gt;1,"",IF(N($M46)&gt;0,N($M46),MAX(1,N(IFERROR(INDEX(SPEC_CIRC,MATCH(INDEX(Equipment!$C$7:$C$18,MAX(1,N($W46))),SPEC_SKU,0)),1)))))</f>
        <v/>
      </c>
    </row>
    <row r="47" ht="16" customHeight="1" s="254">
      <c r="A47" s="862">
        <f>IF($W47="","","Charger 30")</f>
        <v/>
      </c>
      <c r="B47" s="863">
        <f>IF($W47="","","Line "&amp;$W47&amp;" · "&amp;INDEX(Equipment!$C$7:$C$18,$W47)&amp;" · "&amp;INDEX(Equipment!$B$7:$B$18,$W47)&amp;" · #"&amp;(30-INDEX(Equipment!$R$7:$R$18,$W47)+1)&amp;" of "&amp;INDEX(Equipment!$I$7:$I$18,$W47))</f>
        <v/>
      </c>
      <c r="C47" s="863">
        <f>IF($W47="","",IF($V47="L2",TEXT(N(Equipment!$B$30),"0")&amp;" V 1-ph",TEXT(Project!$B$29,"0")&amp;" V 3-ph"))</f>
        <v/>
      </c>
      <c r="D47" s="864">
        <f>IF($W47="","",INDEX(Equipment!$G$7:$G$18,$W47))</f>
        <v/>
      </c>
      <c r="E47" s="807" t="n"/>
      <c r="F47" s="831" t="n"/>
      <c r="G47" s="807" t="n"/>
      <c r="H47" s="865">
        <f>IF($U47&lt;&gt;1,"",IF($E47="",N($D47),SUMIF($E$18:$E$77,$E47,$D$18:$D$77))*1000/(IF($V47="L2",N(Equipment!$B$30),Project!$B$29)*IF($V47="L2",1,SQRT(3))))</f>
        <v/>
      </c>
      <c r="I47" s="865">
        <f>IF(N($H47)=0,"",N($H47)*1.25)</f>
        <v/>
      </c>
      <c r="J47" s="865">
        <f>IF(N($I47)=0,"",IF(ISNUMBER(MATCH($I47,OCPD_LIST,0)),$I47,IF($I47&gt;MAX(OCPD_LIST),"ABOVE LIST",INDEX(OCPD_LIST,MATCH($I47,OCPD_LIST,1)+1))))</f>
        <v/>
      </c>
      <c r="K47" s="863">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807" t="n"/>
      <c r="M47" s="831" t="n"/>
      <c r="N47" s="865">
        <f>IF(OR(IF($L47&lt;&gt;"",$L47,$K47)="",IF($L47&lt;&gt;"",$L47,$K47)="PARALLEL SETS"),"",IFERROR(INDEX(SZ_AMP,MATCH(IF($L47&lt;&gt;"",$L47,$K47),SZ_SIZE,0))*IF(N($M47)&gt;0,N($M47),MAX(1,N(IFERROR(INDEX(SPEC_CIRC,MATCH(INDEX(Equipment!$C$7:$C$18,MAX(1,N($W47))),SPEC_SKU,0)),1)))),""))</f>
        <v/>
      </c>
      <c r="O47" s="866">
        <f>IF(OR(N($N47)=0,N($F47)=0),"",IFERROR(IF($V47="L2",2,SQRT(3))*N($H47)/IF(N($M47)&gt;0,N($M47),MAX(1,N(IFERROR(INDEX(SPEC_CIRC,MATCH(INDEX(Equipment!$C$7:$C$18,MAX(1,N($W47))),SPEC_SKU,0)),1))))*N($F47)*INDEX(SZ_Z,MATCH(IF($L47&lt;&gt;"",$L47,$K47),SZ_SIZE,0))/1000/IF($V47="L2",N(Equipment!$B$30),Project!$B$29),""))</f>
        <v/>
      </c>
      <c r="P47" s="863">
        <f>IF(N($J47)=0,"",IFERROR(INDEX(IF($B$6="Cu",EGC_CU,EGC_AL),MATCH($J47,EGC_OCPD,1)+IF(ISNUMBER(MATCH($J47,EGC_OCPD,0)),0,1)),""))</f>
        <v/>
      </c>
      <c r="Q47" s="863">
        <f>IF(N($N47)=0,"",IFERROR(INDEX(IF($V47="L2",CND_2G,CND_3G),MATCH(IF($L47&lt;&gt;"",$L47,$K47),CND_SIZE,0)),""))</f>
        <v/>
      </c>
      <c r="R47" s="807" t="n"/>
      <c r="S47" s="867">
        <f>IF(OR(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863">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868">
        <f>IF($W47="",0,IF($E47="",1,IF(MATCH($E47,$E$18:$E$77,0)=30,1,0)))</f>
        <v/>
      </c>
      <c r="V47" s="869">
        <f>IF($W47="","",IF(INDEX(Equipment!$E$7:$E$18,$W47)="level_2","L2",IF(INDEX(Equipment!$E$7:$E$18,$W47)="power_cabinet","CAB","DC")))</f>
        <v/>
      </c>
      <c r="W47" s="868">
        <f>IF(N($B$80)&gt;=30,COUNTIF(Equipment!$S$7:$S$18,"&lt;30")+1,"")</f>
        <v/>
      </c>
      <c r="X47" s="868">
        <f>IF($U47&lt;&gt;1,"",IF(N($M47)&gt;0,N($M47),MAX(1,N(IFERROR(INDEX(SPEC_CIRC,MATCH(INDEX(Equipment!$C$7:$C$18,MAX(1,N($W47))),SPEC_SKU,0)),1)))))</f>
        <v/>
      </c>
    </row>
    <row r="48" ht="16" customHeight="1" s="254">
      <c r="A48" s="862">
        <f>IF($W48="","","Charger 31")</f>
        <v/>
      </c>
      <c r="B48" s="863">
        <f>IF($W48="","","Line "&amp;$W48&amp;" · "&amp;INDEX(Equipment!$C$7:$C$18,$W48)&amp;" · "&amp;INDEX(Equipment!$B$7:$B$18,$W48)&amp;" · #"&amp;(31-INDEX(Equipment!$R$7:$R$18,$W48)+1)&amp;" of "&amp;INDEX(Equipment!$I$7:$I$18,$W48))</f>
        <v/>
      </c>
      <c r="C48" s="863">
        <f>IF($W48="","",IF($V48="L2",TEXT(N(Equipment!$B$30),"0")&amp;" V 1-ph",TEXT(Project!$B$29,"0")&amp;" V 3-ph"))</f>
        <v/>
      </c>
      <c r="D48" s="864">
        <f>IF($W48="","",INDEX(Equipment!$G$7:$G$18,$W48))</f>
        <v/>
      </c>
      <c r="E48" s="807" t="n"/>
      <c r="F48" s="831" t="n"/>
      <c r="G48" s="807" t="n"/>
      <c r="H48" s="865">
        <f>IF($U48&lt;&gt;1,"",IF($E48="",N($D48),SUMIF($E$18:$E$77,$E48,$D$18:$D$77))*1000/(IF($V48="L2",N(Equipment!$B$30),Project!$B$29)*IF($V48="L2",1,SQRT(3))))</f>
        <v/>
      </c>
      <c r="I48" s="865">
        <f>IF(N($H48)=0,"",N($H48)*1.25)</f>
        <v/>
      </c>
      <c r="J48" s="865">
        <f>IF(N($I48)=0,"",IF(ISNUMBER(MATCH($I48,OCPD_LIST,0)),$I48,IF($I48&gt;MAX(OCPD_LIST),"ABOVE LIST",INDEX(OCPD_LIST,MATCH($I48,OCPD_LIST,1)+1))))</f>
        <v/>
      </c>
      <c r="K48" s="863">
        <f>IF(OR(N($I48)=0,$B$10=""),"",IF(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gt;ROWS(SZ_SIZE),"PARALLEL SETS",INDEX(SZ_SIZE,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f>
        <v/>
      </c>
      <c r="L48" s="807" t="n"/>
      <c r="M48" s="831" t="n"/>
      <c r="N48" s="865">
        <f>IF(OR(IF($L48&lt;&gt;"",$L48,$K48)="",IF($L48&lt;&gt;"",$L48,$K48)="PARALLEL SETS"),"",IFERROR(INDEX(SZ_AMP,MATCH(IF($L48&lt;&gt;"",$L48,$K48),SZ_SIZE,0))*IF(N($M48)&gt;0,N($M48),MAX(1,N(IFERROR(INDEX(SPEC_CIRC,MATCH(INDEX(Equipment!$C$7:$C$18,MAX(1,N($W48))),SPEC_SKU,0)),1)))),""))</f>
        <v/>
      </c>
      <c r="O48" s="866">
        <f>IF(OR(N($N48)=0,N($F48)=0),"",IFERROR(IF($V48="L2",2,SQRT(3))*N($H48)/IF(N($M48)&gt;0,N($M48),MAX(1,N(IFERROR(INDEX(SPEC_CIRC,MATCH(INDEX(Equipment!$C$7:$C$18,MAX(1,N($W48))),SPEC_SKU,0)),1))))*N($F48)*INDEX(SZ_Z,MATCH(IF($L48&lt;&gt;"",$L48,$K48),SZ_SIZE,0))/1000/IF($V48="L2",N(Equipment!$B$30),Project!$B$29),""))</f>
        <v/>
      </c>
      <c r="P48" s="863">
        <f>IF(N($J48)=0,"",IFERROR(INDEX(IF($B$6="Cu",EGC_CU,EGC_AL),MATCH($J48,EGC_OCPD,1)+IF(ISNUMBER(MATCH($J48,EGC_OCPD,0)),0,1)),""))</f>
        <v/>
      </c>
      <c r="Q48" s="863">
        <f>IF(N($N48)=0,"",IFERROR(INDEX(IF($V48="L2",CND_2G,CND_3G),MATCH(IF($L48&lt;&gt;"",$L48,$K48),CND_SIZE,0)),""))</f>
        <v/>
      </c>
      <c r="R48" s="807" t="n"/>
      <c r="S48" s="867">
        <f>IF(OR(N($F48)=0,N($N48)=0),0,IFERROR(N($F48)*IF(N($M48)&gt;0,N($M48),MAX(1,N(IFERROR(INDEX(SPEC_CIRC,MATCH(INDEX(Equipment!$C$7:$C$18,MAX(1,N($W48))),SPEC_SKU,0)),1))))*IF($V48="L2",2,3)*INDEX(IF($B$6="Cu",WIRE_CU,WIRE_AL),MATCH(IF($L48&lt;&gt;"",$L48,$K48),WIRE_SIZE,0)),0)+IFERROR(N($F48)*IF(N($M48)&gt;0,N($M48),MAX(1,N(IFERROR(INDEX(SPEC_CIRC,MATCH(INDEX(Equipment!$C$7:$C$18,MAX(1,N($W48))),SPEC_SKU,0)),1))))*INDEX(IF($B$6="Cu",WIRE_CU,WIRE_AL),MATCH($P48,WIRE_SIZE,0)),0)+IFERROR(N($F48)*IF(N($M48)&gt;0,N($M48),MAX(1,N(IFERROR(INDEX(SPEC_CIRC,MATCH(INDEX(Equipment!$C$7:$C$18,MAX(1,N($W48))),SPEC_SKU,0)),1))))*INDEX(PVC_RATE,MATCH(IF($R48&lt;&gt;"",$R48,$Q48),PVC_SIZE,0)),0)+IF($V48="L2",0,IFERROR(N($F48)*INDEX(PVC_RATE,MATCH("(3/4"")",PVC_SIZE,0)),0)))</f>
        <v/>
      </c>
      <c r="T48" s="863">
        <f>IF($W48="","",IF($U48=0,"shared — on circuit "&amp;$E48&amp;", sized and priced on its first unit",IF(N($F48)=0,"ENTER THE DISTANCE",IF($B$10="","SET THE DESIGN AMBIENT in block A — nothing on this row can be trusted until it is",IF(IF($L48&lt;&gt;"",$L48,$K48)="PARALLEL SETS","PARALLEL SETS NEEDED — no single conductor carries "&amp;TEXT(N($I48),"#,##0")&amp;" A within the drop allowance; enter sets in column M",IF(N($N48)=0,"no ampacity on file for the override size — NEC Table 310.16 does not list it",IF(N($N48)&lt;IF(N($J48)&gt;800,N($J48),N($I48)),"UNDERSIZED — "&amp;TEXT(N($N48),"#,##0")&amp;" A provided against a floor of "&amp;TEXT(IF(N($J48)&gt;800,N($J48),N($I48)),"#,##0")&amp;" A",IF(N($O48)&gt;$B$13,"ampacity OK but voltage drop "&amp;TEXT(N($O48),"0.0%")&amp;" exceeds the allowance — ADVISORY, upsize the override","OK — "&amp;IF(IF(N($M48)&gt;0,N($M48),MAX(1,N(IFERROR(INDEX(SPEC_CIRC,MATCH(INDEX(Equipment!$C$7:$C$18,MAX(1,N($W48))),SPEC_SKU,0)),1))))&gt;1,TEXT(IF(N($M48)&gt;0,N($M48),MAX(1,N(IFERROR(INDEX(SPEC_CIRC,MATCH(INDEX(Equipment!$C$7:$C$18,MAX(1,N($W48))),SPEC_SKU,0)),1)))),"0")&amp;" sets of ","")&amp;IF($L48&lt;&gt;"",$L48,$K48)&amp;IF($L48&lt;&gt;""," (override)","")&amp;", "&amp;TEXT(N($N48),"#,##0")&amp;" A against a "&amp;TEXT(IF(N($J48)&gt;800,N($J48),N($I48)),"#,##0")&amp;" A floor; drop "&amp;TEXT(N($O48),"0.0%")&amp;" (ADVISORY)"))))))))</f>
        <v/>
      </c>
      <c r="U48" s="868">
        <f>IF($W48="",0,IF($E48="",1,IF(MATCH($E48,$E$18:$E$77,0)=31,1,0)))</f>
        <v/>
      </c>
      <c r="V48" s="869">
        <f>IF($W48="","",IF(INDEX(Equipment!$E$7:$E$18,$W48)="level_2","L2",IF(INDEX(Equipment!$E$7:$E$18,$W48)="power_cabinet","CAB","DC")))</f>
        <v/>
      </c>
      <c r="W48" s="868">
        <f>IF(N($B$80)&gt;=31,COUNTIF(Equipment!$S$7:$S$18,"&lt;31")+1,"")</f>
        <v/>
      </c>
      <c r="X48" s="868">
        <f>IF($U48&lt;&gt;1,"",IF(N($M48)&gt;0,N($M48),MAX(1,N(IFERROR(INDEX(SPEC_CIRC,MATCH(INDEX(Equipment!$C$7:$C$18,MAX(1,N($W48))),SPEC_SKU,0)),1)))))</f>
        <v/>
      </c>
    </row>
    <row r="49" ht="16" customHeight="1" s="254">
      <c r="A49" s="862">
        <f>IF($W49="","","Charger 32")</f>
        <v/>
      </c>
      <c r="B49" s="863">
        <f>IF($W49="","","Line "&amp;$W49&amp;" · "&amp;INDEX(Equipment!$C$7:$C$18,$W49)&amp;" · "&amp;INDEX(Equipment!$B$7:$B$18,$W49)&amp;" · #"&amp;(32-INDEX(Equipment!$R$7:$R$18,$W49)+1)&amp;" of "&amp;INDEX(Equipment!$I$7:$I$18,$W49))</f>
        <v/>
      </c>
      <c r="C49" s="863">
        <f>IF($W49="","",IF($V49="L2",TEXT(N(Equipment!$B$30),"0")&amp;" V 1-ph",TEXT(Project!$B$29,"0")&amp;" V 3-ph"))</f>
        <v/>
      </c>
      <c r="D49" s="864">
        <f>IF($W49="","",INDEX(Equipment!$G$7:$G$18,$W49))</f>
        <v/>
      </c>
      <c r="E49" s="807" t="n"/>
      <c r="F49" s="831" t="n"/>
      <c r="G49" s="807" t="n"/>
      <c r="H49" s="865">
        <f>IF($U49&lt;&gt;1,"",IF($E49="",N($D49),SUMIF($E$18:$E$77,$E49,$D$18:$D$77))*1000/(IF($V49="L2",N(Equipment!$B$30),Project!$B$29)*IF($V49="L2",1,SQRT(3))))</f>
        <v/>
      </c>
      <c r="I49" s="865">
        <f>IF(N($H49)=0,"",N($H49)*1.25)</f>
        <v/>
      </c>
      <c r="J49" s="865">
        <f>IF(N($I49)=0,"",IF(ISNUMBER(MATCH($I49,OCPD_LIST,0)),$I49,IF($I49&gt;MAX(OCPD_LIST),"ABOVE LIST",INDEX(OCPD_LIST,MATCH($I49,OCPD_LIST,1)+1))))</f>
        <v/>
      </c>
      <c r="K49" s="863">
        <f>IF(OR(N($I49)=0,$B$10=""),"",IF(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gt;ROWS(SZ_SIZE),"PARALLEL SETS",INDEX(SZ_SIZE,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f>
        <v/>
      </c>
      <c r="L49" s="807" t="n"/>
      <c r="M49" s="831" t="n"/>
      <c r="N49" s="865">
        <f>IF(OR(IF($L49&lt;&gt;"",$L49,$K49)="",IF($L49&lt;&gt;"",$L49,$K49)="PARALLEL SETS"),"",IFERROR(INDEX(SZ_AMP,MATCH(IF($L49&lt;&gt;"",$L49,$K49),SZ_SIZE,0))*IF(N($M49)&gt;0,N($M49),MAX(1,N(IFERROR(INDEX(SPEC_CIRC,MATCH(INDEX(Equipment!$C$7:$C$18,MAX(1,N($W49))),SPEC_SKU,0)),1)))),""))</f>
        <v/>
      </c>
      <c r="O49" s="866">
        <f>IF(OR(N($N49)=0,N($F49)=0),"",IFERROR(IF($V49="L2",2,SQRT(3))*N($H49)/IF(N($M49)&gt;0,N($M49),MAX(1,N(IFERROR(INDEX(SPEC_CIRC,MATCH(INDEX(Equipment!$C$7:$C$18,MAX(1,N($W49))),SPEC_SKU,0)),1))))*N($F49)*INDEX(SZ_Z,MATCH(IF($L49&lt;&gt;"",$L49,$K49),SZ_SIZE,0))/1000/IF($V49="L2",N(Equipment!$B$30),Project!$B$29),""))</f>
        <v/>
      </c>
      <c r="P49" s="863">
        <f>IF(N($J49)=0,"",IFERROR(INDEX(IF($B$6="Cu",EGC_CU,EGC_AL),MATCH($J49,EGC_OCPD,1)+IF(ISNUMBER(MATCH($J49,EGC_OCPD,0)),0,1)),""))</f>
        <v/>
      </c>
      <c r="Q49" s="863">
        <f>IF(N($N49)=0,"",IFERROR(INDEX(IF($V49="L2",CND_2G,CND_3G),MATCH(IF($L49&lt;&gt;"",$L49,$K49),CND_SIZE,0)),""))</f>
        <v/>
      </c>
      <c r="R49" s="807" t="n"/>
      <c r="S49" s="867">
        <f>IF(OR(N($F49)=0,N($N49)=0),0,IFERROR(N($F49)*IF(N($M49)&gt;0,N($M49),MAX(1,N(IFERROR(INDEX(SPEC_CIRC,MATCH(INDEX(Equipment!$C$7:$C$18,MAX(1,N($W49))),SPEC_SKU,0)),1))))*IF($V49="L2",2,3)*INDEX(IF($B$6="Cu",WIRE_CU,WIRE_AL),MATCH(IF($L49&lt;&gt;"",$L49,$K49),WIRE_SIZE,0)),0)+IFERROR(N($F49)*IF(N($M49)&gt;0,N($M49),MAX(1,N(IFERROR(INDEX(SPEC_CIRC,MATCH(INDEX(Equipment!$C$7:$C$18,MAX(1,N($W49))),SPEC_SKU,0)),1))))*INDEX(IF($B$6="Cu",WIRE_CU,WIRE_AL),MATCH($P49,WIRE_SIZE,0)),0)+IFERROR(N($F49)*IF(N($M49)&gt;0,N($M49),MAX(1,N(IFERROR(INDEX(SPEC_CIRC,MATCH(INDEX(Equipment!$C$7:$C$18,MAX(1,N($W49))),SPEC_SKU,0)),1))))*INDEX(PVC_RATE,MATCH(IF($R49&lt;&gt;"",$R49,$Q49),PVC_SIZE,0)),0)+IF($V49="L2",0,IFERROR(N($F49)*INDEX(PVC_RATE,MATCH("(3/4"")",PVC_SIZE,0)),0)))</f>
        <v/>
      </c>
      <c r="T49" s="863">
        <f>IF($W49="","",IF($U49=0,"shared — on circuit "&amp;$E49&amp;", sized and priced on its first unit",IF(N($F49)=0,"ENTER THE DISTANCE",IF($B$10="","SET THE DESIGN AMBIENT in block A — nothing on this row can be trusted until it is",IF(IF($L49&lt;&gt;"",$L49,$K49)="PARALLEL SETS","PARALLEL SETS NEEDED — no single conductor carries "&amp;TEXT(N($I49),"#,##0")&amp;" A within the drop allowance; enter sets in column M",IF(N($N49)=0,"no ampacity on file for the override size — NEC Table 310.16 does not list it",IF(N($N49)&lt;IF(N($J49)&gt;800,N($J49),N($I49)),"UNDERSIZED — "&amp;TEXT(N($N49),"#,##0")&amp;" A provided against a floor of "&amp;TEXT(IF(N($J49)&gt;800,N($J49),N($I49)),"#,##0")&amp;" A",IF(N($O49)&gt;$B$13,"ampacity OK but voltage drop "&amp;TEXT(N($O49),"0.0%")&amp;" exceeds the allowance — ADVISORY, upsize the override","OK — "&amp;IF(IF(N($M49)&gt;0,N($M49),MAX(1,N(IFERROR(INDEX(SPEC_CIRC,MATCH(INDEX(Equipment!$C$7:$C$18,MAX(1,N($W49))),SPEC_SKU,0)),1))))&gt;1,TEXT(IF(N($M49)&gt;0,N($M49),MAX(1,N(IFERROR(INDEX(SPEC_CIRC,MATCH(INDEX(Equipment!$C$7:$C$18,MAX(1,N($W49))),SPEC_SKU,0)),1)))),"0")&amp;" sets of ","")&amp;IF($L49&lt;&gt;"",$L49,$K49)&amp;IF($L49&lt;&gt;""," (override)","")&amp;", "&amp;TEXT(N($N49),"#,##0")&amp;" A against a "&amp;TEXT(IF(N($J49)&gt;800,N($J49),N($I49)),"#,##0")&amp;" A floor; drop "&amp;TEXT(N($O49),"0.0%")&amp;" (ADVISORY)"))))))))</f>
        <v/>
      </c>
      <c r="U49" s="868">
        <f>IF($W49="",0,IF($E49="",1,IF(MATCH($E49,$E$18:$E$77,0)=32,1,0)))</f>
        <v/>
      </c>
      <c r="V49" s="869">
        <f>IF($W49="","",IF(INDEX(Equipment!$E$7:$E$18,$W49)="level_2","L2",IF(INDEX(Equipment!$E$7:$E$18,$W49)="power_cabinet","CAB","DC")))</f>
        <v/>
      </c>
      <c r="W49" s="868">
        <f>IF(N($B$80)&gt;=32,COUNTIF(Equipment!$S$7:$S$18,"&lt;32")+1,"")</f>
        <v/>
      </c>
      <c r="X49" s="868">
        <f>IF($U49&lt;&gt;1,"",IF(N($M49)&gt;0,N($M49),MAX(1,N(IFERROR(INDEX(SPEC_CIRC,MATCH(INDEX(Equipment!$C$7:$C$18,MAX(1,N($W49))),SPEC_SKU,0)),1)))))</f>
        <v/>
      </c>
    </row>
    <row r="50" ht="16" customHeight="1" s="254">
      <c r="A50" s="862">
        <f>IF($W50="","","Charger 33")</f>
        <v/>
      </c>
      <c r="B50" s="863">
        <f>IF($W50="","","Line "&amp;$W50&amp;" · "&amp;INDEX(Equipment!$C$7:$C$18,$W50)&amp;" · "&amp;INDEX(Equipment!$B$7:$B$18,$W50)&amp;" · #"&amp;(33-INDEX(Equipment!$R$7:$R$18,$W50)+1)&amp;" of "&amp;INDEX(Equipment!$I$7:$I$18,$W50))</f>
        <v/>
      </c>
      <c r="C50" s="863">
        <f>IF($W50="","",IF($V50="L2",TEXT(N(Equipment!$B$30),"0")&amp;" V 1-ph",TEXT(Project!$B$29,"0")&amp;" V 3-ph"))</f>
        <v/>
      </c>
      <c r="D50" s="864">
        <f>IF($W50="","",INDEX(Equipment!$G$7:$G$18,$W50))</f>
        <v/>
      </c>
      <c r="E50" s="807" t="n"/>
      <c r="F50" s="831" t="n"/>
      <c r="G50" s="807" t="n"/>
      <c r="H50" s="865">
        <f>IF($U50&lt;&gt;1,"",IF($E50="",N($D50),SUMIF($E$18:$E$77,$E50,$D$18:$D$77))*1000/(IF($V50="L2",N(Equipment!$B$30),Project!$B$29)*IF($V50="L2",1,SQRT(3))))</f>
        <v/>
      </c>
      <c r="I50" s="865">
        <f>IF(N($H50)=0,"",N($H50)*1.25)</f>
        <v/>
      </c>
      <c r="J50" s="865">
        <f>IF(N($I50)=0,"",IF(ISNUMBER(MATCH($I50,OCPD_LIST,0)),$I50,IF($I50&gt;MAX(OCPD_LIST),"ABOVE LIST",INDEX(OCPD_LIST,MATCH($I50,OCPD_LIST,1)+1))))</f>
        <v/>
      </c>
      <c r="K50" s="863">
        <f>IF(OR(N($I50)=0,$B$10=""),"",IF(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gt;ROWS(SZ_SIZE),"PARALLEL SETS",INDEX(SZ_SIZE,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f>
        <v/>
      </c>
      <c r="L50" s="807" t="n"/>
      <c r="M50" s="831" t="n"/>
      <c r="N50" s="865">
        <f>IF(OR(IF($L50&lt;&gt;"",$L50,$K50)="",IF($L50&lt;&gt;"",$L50,$K50)="PARALLEL SETS"),"",IFERROR(INDEX(SZ_AMP,MATCH(IF($L50&lt;&gt;"",$L50,$K50),SZ_SIZE,0))*IF(N($M50)&gt;0,N($M50),MAX(1,N(IFERROR(INDEX(SPEC_CIRC,MATCH(INDEX(Equipment!$C$7:$C$18,MAX(1,N($W50))),SPEC_SKU,0)),1)))),""))</f>
        <v/>
      </c>
      <c r="O50" s="866">
        <f>IF(OR(N($N50)=0,N($F50)=0),"",IFERROR(IF($V50="L2",2,SQRT(3))*N($H50)/IF(N($M50)&gt;0,N($M50),MAX(1,N(IFERROR(INDEX(SPEC_CIRC,MATCH(INDEX(Equipment!$C$7:$C$18,MAX(1,N($W50))),SPEC_SKU,0)),1))))*N($F50)*INDEX(SZ_Z,MATCH(IF($L50&lt;&gt;"",$L50,$K50),SZ_SIZE,0))/1000/IF($V50="L2",N(Equipment!$B$30),Project!$B$29),""))</f>
        <v/>
      </c>
      <c r="P50" s="863">
        <f>IF(N($J50)=0,"",IFERROR(INDEX(IF($B$6="Cu",EGC_CU,EGC_AL),MATCH($J50,EGC_OCPD,1)+IF(ISNUMBER(MATCH($J50,EGC_OCPD,0)),0,1)),""))</f>
        <v/>
      </c>
      <c r="Q50" s="863">
        <f>IF(N($N50)=0,"",IFERROR(INDEX(IF($V50="L2",CND_2G,CND_3G),MATCH(IF($L50&lt;&gt;"",$L50,$K50),CND_SIZE,0)),""))</f>
        <v/>
      </c>
      <c r="R50" s="807" t="n"/>
      <c r="S50" s="867">
        <f>IF(OR(N($F50)=0,N($N50)=0),0,IFERROR(N($F50)*IF(N($M50)&gt;0,N($M50),MAX(1,N(IFERROR(INDEX(SPEC_CIRC,MATCH(INDEX(Equipment!$C$7:$C$18,MAX(1,N($W50))),SPEC_SKU,0)),1))))*IF($V50="L2",2,3)*INDEX(IF($B$6="Cu",WIRE_CU,WIRE_AL),MATCH(IF($L50&lt;&gt;"",$L50,$K50),WIRE_SIZE,0)),0)+IFERROR(N($F50)*IF(N($M50)&gt;0,N($M50),MAX(1,N(IFERROR(INDEX(SPEC_CIRC,MATCH(INDEX(Equipment!$C$7:$C$18,MAX(1,N($W50))),SPEC_SKU,0)),1))))*INDEX(IF($B$6="Cu",WIRE_CU,WIRE_AL),MATCH($P50,WIRE_SIZE,0)),0)+IFERROR(N($F50)*IF(N($M50)&gt;0,N($M50),MAX(1,N(IFERROR(INDEX(SPEC_CIRC,MATCH(INDEX(Equipment!$C$7:$C$18,MAX(1,N($W50))),SPEC_SKU,0)),1))))*INDEX(PVC_RATE,MATCH(IF($R50&lt;&gt;"",$R50,$Q50),PVC_SIZE,0)),0)+IF($V50="L2",0,IFERROR(N($F50)*INDEX(PVC_RATE,MATCH("(3/4"")",PVC_SIZE,0)),0)))</f>
        <v/>
      </c>
      <c r="T50" s="863">
        <f>IF($W50="","",IF($U50=0,"shared — on circuit "&amp;$E50&amp;", sized and priced on its first unit",IF(N($F50)=0,"ENTER THE DISTANCE",IF($B$10="","SET THE DESIGN AMBIENT in block A — nothing on this row can be trusted until it is",IF(IF($L50&lt;&gt;"",$L50,$K50)="PARALLEL SETS","PARALLEL SETS NEEDED — no single conductor carries "&amp;TEXT(N($I50),"#,##0")&amp;" A within the drop allowance; enter sets in column M",IF(N($N50)=0,"no ampacity on file for the override size — NEC Table 310.16 does not list it",IF(N($N50)&lt;IF(N($J50)&gt;800,N($J50),N($I50)),"UNDERSIZED — "&amp;TEXT(N($N50),"#,##0")&amp;" A provided against a floor of "&amp;TEXT(IF(N($J50)&gt;800,N($J50),N($I50)),"#,##0")&amp;" A",IF(N($O50)&gt;$B$13,"ampacity OK but voltage drop "&amp;TEXT(N($O50),"0.0%")&amp;" exceeds the allowance — ADVISORY, upsize the override","OK — "&amp;IF(IF(N($M50)&gt;0,N($M50),MAX(1,N(IFERROR(INDEX(SPEC_CIRC,MATCH(INDEX(Equipment!$C$7:$C$18,MAX(1,N($W50))),SPEC_SKU,0)),1))))&gt;1,TEXT(IF(N($M50)&gt;0,N($M50),MAX(1,N(IFERROR(INDEX(SPEC_CIRC,MATCH(INDEX(Equipment!$C$7:$C$18,MAX(1,N($W50))),SPEC_SKU,0)),1)))),"0")&amp;" sets of ","")&amp;IF($L50&lt;&gt;"",$L50,$K50)&amp;IF($L50&lt;&gt;""," (override)","")&amp;", "&amp;TEXT(N($N50),"#,##0")&amp;" A against a "&amp;TEXT(IF(N($J50)&gt;800,N($J50),N($I50)),"#,##0")&amp;" A floor; drop "&amp;TEXT(N($O50),"0.0%")&amp;" (ADVISORY)"))))))))</f>
        <v/>
      </c>
      <c r="U50" s="868">
        <f>IF($W50="",0,IF($E50="",1,IF(MATCH($E50,$E$18:$E$77,0)=33,1,0)))</f>
        <v/>
      </c>
      <c r="V50" s="869">
        <f>IF($W50="","",IF(INDEX(Equipment!$E$7:$E$18,$W50)="level_2","L2",IF(INDEX(Equipment!$E$7:$E$18,$W50)="power_cabinet","CAB","DC")))</f>
        <v/>
      </c>
      <c r="W50" s="868">
        <f>IF(N($B$80)&gt;=33,COUNTIF(Equipment!$S$7:$S$18,"&lt;33")+1,"")</f>
        <v/>
      </c>
      <c r="X50" s="868">
        <f>IF($U50&lt;&gt;1,"",IF(N($M50)&gt;0,N($M50),MAX(1,N(IFERROR(INDEX(SPEC_CIRC,MATCH(INDEX(Equipment!$C$7:$C$18,MAX(1,N($W50))),SPEC_SKU,0)),1)))))</f>
        <v/>
      </c>
    </row>
    <row r="51" ht="16" customHeight="1" s="254">
      <c r="A51" s="862">
        <f>IF($W51="","","Charger 34")</f>
        <v/>
      </c>
      <c r="B51" s="863">
        <f>IF($W51="","","Line "&amp;$W51&amp;" · "&amp;INDEX(Equipment!$C$7:$C$18,$W51)&amp;" · "&amp;INDEX(Equipment!$B$7:$B$18,$W51)&amp;" · #"&amp;(34-INDEX(Equipment!$R$7:$R$18,$W51)+1)&amp;" of "&amp;INDEX(Equipment!$I$7:$I$18,$W51))</f>
        <v/>
      </c>
      <c r="C51" s="863">
        <f>IF($W51="","",IF($V51="L2",TEXT(N(Equipment!$B$30),"0")&amp;" V 1-ph",TEXT(Project!$B$29,"0")&amp;" V 3-ph"))</f>
        <v/>
      </c>
      <c r="D51" s="864">
        <f>IF($W51="","",INDEX(Equipment!$G$7:$G$18,$W51))</f>
        <v/>
      </c>
      <c r="E51" s="807" t="n"/>
      <c r="F51" s="831" t="n"/>
      <c r="G51" s="807" t="n"/>
      <c r="H51" s="865">
        <f>IF($U51&lt;&gt;1,"",IF($E51="",N($D51),SUMIF($E$18:$E$77,$E51,$D$18:$D$77))*1000/(IF($V51="L2",N(Equipment!$B$30),Project!$B$29)*IF($V51="L2",1,SQRT(3))))</f>
        <v/>
      </c>
      <c r="I51" s="865">
        <f>IF(N($H51)=0,"",N($H51)*1.25)</f>
        <v/>
      </c>
      <c r="J51" s="865">
        <f>IF(N($I51)=0,"",IF(ISNUMBER(MATCH($I51,OCPD_LIST,0)),$I51,IF($I51&gt;MAX(OCPD_LIST),"ABOVE LIST",INDEX(OCPD_LIST,MATCH($I51,OCPD_LIST,1)+1))))</f>
        <v/>
      </c>
      <c r="K51" s="863">
        <f>IF(OR(N($I51)=0,$B$10=""),"",IF(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gt;ROWS(SZ_SIZE),"PARALLEL SETS",INDEX(SZ_SIZE,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f>
        <v/>
      </c>
      <c r="L51" s="807" t="n"/>
      <c r="M51" s="831" t="n"/>
      <c r="N51" s="865">
        <f>IF(OR(IF($L51&lt;&gt;"",$L51,$K51)="",IF($L51&lt;&gt;"",$L51,$K51)="PARALLEL SETS"),"",IFERROR(INDEX(SZ_AMP,MATCH(IF($L51&lt;&gt;"",$L51,$K51),SZ_SIZE,0))*IF(N($M51)&gt;0,N($M51),MAX(1,N(IFERROR(INDEX(SPEC_CIRC,MATCH(INDEX(Equipment!$C$7:$C$18,MAX(1,N($W51))),SPEC_SKU,0)),1)))),""))</f>
        <v/>
      </c>
      <c r="O51" s="866">
        <f>IF(OR(N($N51)=0,N($F51)=0),"",IFERROR(IF($V51="L2",2,SQRT(3))*N($H51)/IF(N($M51)&gt;0,N($M51),MAX(1,N(IFERROR(INDEX(SPEC_CIRC,MATCH(INDEX(Equipment!$C$7:$C$18,MAX(1,N($W51))),SPEC_SKU,0)),1))))*N($F51)*INDEX(SZ_Z,MATCH(IF($L51&lt;&gt;"",$L51,$K51),SZ_SIZE,0))/1000/IF($V51="L2",N(Equipment!$B$30),Project!$B$29),""))</f>
        <v/>
      </c>
      <c r="P51" s="863">
        <f>IF(N($J51)=0,"",IFERROR(INDEX(IF($B$6="Cu",EGC_CU,EGC_AL),MATCH($J51,EGC_OCPD,1)+IF(ISNUMBER(MATCH($J51,EGC_OCPD,0)),0,1)),""))</f>
        <v/>
      </c>
      <c r="Q51" s="863">
        <f>IF(N($N51)=0,"",IFERROR(INDEX(IF($V51="L2",CND_2G,CND_3G),MATCH(IF($L51&lt;&gt;"",$L51,$K51),CND_SIZE,0)),""))</f>
        <v/>
      </c>
      <c r="R51" s="807" t="n"/>
      <c r="S51" s="867">
        <f>IF(OR(N($F51)=0,N($N51)=0),0,IFERROR(N($F51)*IF(N($M51)&gt;0,N($M51),MAX(1,N(IFERROR(INDEX(SPEC_CIRC,MATCH(INDEX(Equipment!$C$7:$C$18,MAX(1,N($W51))),SPEC_SKU,0)),1))))*IF($V51="L2",2,3)*INDEX(IF($B$6="Cu",WIRE_CU,WIRE_AL),MATCH(IF($L51&lt;&gt;"",$L51,$K51),WIRE_SIZE,0)),0)+IFERROR(N($F51)*IF(N($M51)&gt;0,N($M51),MAX(1,N(IFERROR(INDEX(SPEC_CIRC,MATCH(INDEX(Equipment!$C$7:$C$18,MAX(1,N($W51))),SPEC_SKU,0)),1))))*INDEX(IF($B$6="Cu",WIRE_CU,WIRE_AL),MATCH($P51,WIRE_SIZE,0)),0)+IFERROR(N($F51)*IF(N($M51)&gt;0,N($M51),MAX(1,N(IFERROR(INDEX(SPEC_CIRC,MATCH(INDEX(Equipment!$C$7:$C$18,MAX(1,N($W51))),SPEC_SKU,0)),1))))*INDEX(PVC_RATE,MATCH(IF($R51&lt;&gt;"",$R51,$Q51),PVC_SIZE,0)),0)+IF($V51="L2",0,IFERROR(N($F51)*INDEX(PVC_RATE,MATCH("(3/4"")",PVC_SIZE,0)),0)))</f>
        <v/>
      </c>
      <c r="T51" s="863">
        <f>IF($W51="","",IF($U51=0,"shared — on circuit "&amp;$E51&amp;", sized and priced on its first unit",IF(N($F51)=0,"ENTER THE DISTANCE",IF($B$10="","SET THE DESIGN AMBIENT in block A — nothing on this row can be trusted until it is",IF(IF($L51&lt;&gt;"",$L51,$K51)="PARALLEL SETS","PARALLEL SETS NEEDED — no single conductor carries "&amp;TEXT(N($I51),"#,##0")&amp;" A within the drop allowance; enter sets in column M",IF(N($N51)=0,"no ampacity on file for the override size — NEC Table 310.16 does not list it",IF(N($N51)&lt;IF(N($J51)&gt;800,N($J51),N($I51)),"UNDERSIZED — "&amp;TEXT(N($N51),"#,##0")&amp;" A provided against a floor of "&amp;TEXT(IF(N($J51)&gt;800,N($J51),N($I51)),"#,##0")&amp;" A",IF(N($O51)&gt;$B$13,"ampacity OK but voltage drop "&amp;TEXT(N($O51),"0.0%")&amp;" exceeds the allowance — ADVISORY, upsize the override","OK — "&amp;IF(IF(N($M51)&gt;0,N($M51),MAX(1,N(IFERROR(INDEX(SPEC_CIRC,MATCH(INDEX(Equipment!$C$7:$C$18,MAX(1,N($W51))),SPEC_SKU,0)),1))))&gt;1,TEXT(IF(N($M51)&gt;0,N($M51),MAX(1,N(IFERROR(INDEX(SPEC_CIRC,MATCH(INDEX(Equipment!$C$7:$C$18,MAX(1,N($W51))),SPEC_SKU,0)),1)))),"0")&amp;" sets of ","")&amp;IF($L51&lt;&gt;"",$L51,$K51)&amp;IF($L51&lt;&gt;""," (override)","")&amp;", "&amp;TEXT(N($N51),"#,##0")&amp;" A against a "&amp;TEXT(IF(N($J51)&gt;800,N($J51),N($I51)),"#,##0")&amp;" A floor; drop "&amp;TEXT(N($O51),"0.0%")&amp;" (ADVISORY)"))))))))</f>
        <v/>
      </c>
      <c r="U51" s="868">
        <f>IF($W51="",0,IF($E51="",1,IF(MATCH($E51,$E$18:$E$77,0)=34,1,0)))</f>
        <v/>
      </c>
      <c r="V51" s="869">
        <f>IF($W51="","",IF(INDEX(Equipment!$E$7:$E$18,$W51)="level_2","L2",IF(INDEX(Equipment!$E$7:$E$18,$W51)="power_cabinet","CAB","DC")))</f>
        <v/>
      </c>
      <c r="W51" s="868">
        <f>IF(N($B$80)&gt;=34,COUNTIF(Equipment!$S$7:$S$18,"&lt;34")+1,"")</f>
        <v/>
      </c>
      <c r="X51" s="868">
        <f>IF($U51&lt;&gt;1,"",IF(N($M51)&gt;0,N($M51),MAX(1,N(IFERROR(INDEX(SPEC_CIRC,MATCH(INDEX(Equipment!$C$7:$C$18,MAX(1,N($W51))),SPEC_SKU,0)),1)))))</f>
        <v/>
      </c>
    </row>
    <row r="52" ht="16" customHeight="1" s="254">
      <c r="A52" s="862">
        <f>IF($W52="","","Charger 35")</f>
        <v/>
      </c>
      <c r="B52" s="863">
        <f>IF($W52="","","Line "&amp;$W52&amp;" · "&amp;INDEX(Equipment!$C$7:$C$18,$W52)&amp;" · "&amp;INDEX(Equipment!$B$7:$B$18,$W52)&amp;" · #"&amp;(35-INDEX(Equipment!$R$7:$R$18,$W52)+1)&amp;" of "&amp;INDEX(Equipment!$I$7:$I$18,$W52))</f>
        <v/>
      </c>
      <c r="C52" s="863">
        <f>IF($W52="","",IF($V52="L2",TEXT(N(Equipment!$B$30),"0")&amp;" V 1-ph",TEXT(Project!$B$29,"0")&amp;" V 3-ph"))</f>
        <v/>
      </c>
      <c r="D52" s="864">
        <f>IF($W52="","",INDEX(Equipment!$G$7:$G$18,$W52))</f>
        <v/>
      </c>
      <c r="E52" s="807" t="n"/>
      <c r="F52" s="831" t="n"/>
      <c r="G52" s="807" t="n"/>
      <c r="H52" s="865">
        <f>IF($U52&lt;&gt;1,"",IF($E52="",N($D52),SUMIF($E$18:$E$77,$E52,$D$18:$D$77))*1000/(IF($V52="L2",N(Equipment!$B$30),Project!$B$29)*IF($V52="L2",1,SQRT(3))))</f>
        <v/>
      </c>
      <c r="I52" s="865">
        <f>IF(N($H52)=0,"",N($H52)*1.25)</f>
        <v/>
      </c>
      <c r="J52" s="865">
        <f>IF(N($I52)=0,"",IF(ISNUMBER(MATCH($I52,OCPD_LIST,0)),$I52,IF($I52&gt;MAX(OCPD_LIST),"ABOVE LIST",INDEX(OCPD_LIST,MATCH($I52,OCPD_LIST,1)+1))))</f>
        <v/>
      </c>
      <c r="K52" s="863">
        <f>IF(OR(N($I52)=0,$B$10=""),"",IF(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gt;ROWS(SZ_SIZE),"PARALLEL SETS",INDEX(SZ_SIZE,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f>
        <v/>
      </c>
      <c r="L52" s="807" t="n"/>
      <c r="M52" s="831" t="n"/>
      <c r="N52" s="865">
        <f>IF(OR(IF($L52&lt;&gt;"",$L52,$K52)="",IF($L52&lt;&gt;"",$L52,$K52)="PARALLEL SETS"),"",IFERROR(INDEX(SZ_AMP,MATCH(IF($L52&lt;&gt;"",$L52,$K52),SZ_SIZE,0))*IF(N($M52)&gt;0,N($M52),MAX(1,N(IFERROR(INDEX(SPEC_CIRC,MATCH(INDEX(Equipment!$C$7:$C$18,MAX(1,N($W52))),SPEC_SKU,0)),1)))),""))</f>
        <v/>
      </c>
      <c r="O52" s="866">
        <f>IF(OR(N($N52)=0,N($F52)=0),"",IFERROR(IF($V52="L2",2,SQRT(3))*N($H52)/IF(N($M52)&gt;0,N($M52),MAX(1,N(IFERROR(INDEX(SPEC_CIRC,MATCH(INDEX(Equipment!$C$7:$C$18,MAX(1,N($W52))),SPEC_SKU,0)),1))))*N($F52)*INDEX(SZ_Z,MATCH(IF($L52&lt;&gt;"",$L52,$K52),SZ_SIZE,0))/1000/IF($V52="L2",N(Equipment!$B$30),Project!$B$29),""))</f>
        <v/>
      </c>
      <c r="P52" s="863">
        <f>IF(N($J52)=0,"",IFERROR(INDEX(IF($B$6="Cu",EGC_CU,EGC_AL),MATCH($J52,EGC_OCPD,1)+IF(ISNUMBER(MATCH($J52,EGC_OCPD,0)),0,1)),""))</f>
        <v/>
      </c>
      <c r="Q52" s="863">
        <f>IF(N($N52)=0,"",IFERROR(INDEX(IF($V52="L2",CND_2G,CND_3G),MATCH(IF($L52&lt;&gt;"",$L52,$K52),CND_SIZE,0)),""))</f>
        <v/>
      </c>
      <c r="R52" s="807" t="n"/>
      <c r="S52" s="867">
        <f>IF(OR(N($F52)=0,N($N52)=0),0,IFERROR(N($F52)*IF(N($M52)&gt;0,N($M52),MAX(1,N(IFERROR(INDEX(SPEC_CIRC,MATCH(INDEX(Equipment!$C$7:$C$18,MAX(1,N($W52))),SPEC_SKU,0)),1))))*IF($V52="L2",2,3)*INDEX(IF($B$6="Cu",WIRE_CU,WIRE_AL),MATCH(IF($L52&lt;&gt;"",$L52,$K52),WIRE_SIZE,0)),0)+IFERROR(N($F52)*IF(N($M52)&gt;0,N($M52),MAX(1,N(IFERROR(INDEX(SPEC_CIRC,MATCH(INDEX(Equipment!$C$7:$C$18,MAX(1,N($W52))),SPEC_SKU,0)),1))))*INDEX(IF($B$6="Cu",WIRE_CU,WIRE_AL),MATCH($P52,WIRE_SIZE,0)),0)+IFERROR(N($F52)*IF(N($M52)&gt;0,N($M52),MAX(1,N(IFERROR(INDEX(SPEC_CIRC,MATCH(INDEX(Equipment!$C$7:$C$18,MAX(1,N($W52))),SPEC_SKU,0)),1))))*INDEX(PVC_RATE,MATCH(IF($R52&lt;&gt;"",$R52,$Q52),PVC_SIZE,0)),0)+IF($V52="L2",0,IFERROR(N($F52)*INDEX(PVC_RATE,MATCH("(3/4"")",PVC_SIZE,0)),0)))</f>
        <v/>
      </c>
      <c r="T52" s="863">
        <f>IF($W52="","",IF($U52=0,"shared — on circuit "&amp;$E52&amp;", sized and priced on its first unit",IF(N($F52)=0,"ENTER THE DISTANCE",IF($B$10="","SET THE DESIGN AMBIENT in block A — nothing on this row can be trusted until it is",IF(IF($L52&lt;&gt;"",$L52,$K52)="PARALLEL SETS","PARALLEL SETS NEEDED — no single conductor carries "&amp;TEXT(N($I52),"#,##0")&amp;" A within the drop allowance; enter sets in column M",IF(N($N52)=0,"no ampacity on file for the override size — NEC Table 310.16 does not list it",IF(N($N52)&lt;IF(N($J52)&gt;800,N($J52),N($I52)),"UNDERSIZED — "&amp;TEXT(N($N52),"#,##0")&amp;" A provided against a floor of "&amp;TEXT(IF(N($J52)&gt;800,N($J52),N($I52)),"#,##0")&amp;" A",IF(N($O52)&gt;$B$13,"ampacity OK but voltage drop "&amp;TEXT(N($O52),"0.0%")&amp;" exceeds the allowance — ADVISORY, upsize the override","OK — "&amp;IF(IF(N($M52)&gt;0,N($M52),MAX(1,N(IFERROR(INDEX(SPEC_CIRC,MATCH(INDEX(Equipment!$C$7:$C$18,MAX(1,N($W52))),SPEC_SKU,0)),1))))&gt;1,TEXT(IF(N($M52)&gt;0,N($M52),MAX(1,N(IFERROR(INDEX(SPEC_CIRC,MATCH(INDEX(Equipment!$C$7:$C$18,MAX(1,N($W52))),SPEC_SKU,0)),1)))),"0")&amp;" sets of ","")&amp;IF($L52&lt;&gt;"",$L52,$K52)&amp;IF($L52&lt;&gt;""," (override)","")&amp;", "&amp;TEXT(N($N52),"#,##0")&amp;" A against a "&amp;TEXT(IF(N($J52)&gt;800,N($J52),N($I52)),"#,##0")&amp;" A floor; drop "&amp;TEXT(N($O52),"0.0%")&amp;" (ADVISORY)"))))))))</f>
        <v/>
      </c>
      <c r="U52" s="868">
        <f>IF($W52="",0,IF($E52="",1,IF(MATCH($E52,$E$18:$E$77,0)=35,1,0)))</f>
        <v/>
      </c>
      <c r="V52" s="869">
        <f>IF($W52="","",IF(INDEX(Equipment!$E$7:$E$18,$W52)="level_2","L2",IF(INDEX(Equipment!$E$7:$E$18,$W52)="power_cabinet","CAB","DC")))</f>
        <v/>
      </c>
      <c r="W52" s="868">
        <f>IF(N($B$80)&gt;=35,COUNTIF(Equipment!$S$7:$S$18,"&lt;35")+1,"")</f>
        <v/>
      </c>
      <c r="X52" s="868">
        <f>IF($U52&lt;&gt;1,"",IF(N($M52)&gt;0,N($M52),MAX(1,N(IFERROR(INDEX(SPEC_CIRC,MATCH(INDEX(Equipment!$C$7:$C$18,MAX(1,N($W52))),SPEC_SKU,0)),1)))))</f>
        <v/>
      </c>
    </row>
    <row r="53" ht="16" customHeight="1" s="254">
      <c r="A53" s="862">
        <f>IF($W53="","","Charger 36")</f>
        <v/>
      </c>
      <c r="B53" s="863">
        <f>IF($W53="","","Line "&amp;$W53&amp;" · "&amp;INDEX(Equipment!$C$7:$C$18,$W53)&amp;" · "&amp;INDEX(Equipment!$B$7:$B$18,$W53)&amp;" · #"&amp;(36-INDEX(Equipment!$R$7:$R$18,$W53)+1)&amp;" of "&amp;INDEX(Equipment!$I$7:$I$18,$W53))</f>
        <v/>
      </c>
      <c r="C53" s="863">
        <f>IF($W53="","",IF($V53="L2",TEXT(N(Equipment!$B$30),"0")&amp;" V 1-ph",TEXT(Project!$B$29,"0")&amp;" V 3-ph"))</f>
        <v/>
      </c>
      <c r="D53" s="864">
        <f>IF($W53="","",INDEX(Equipment!$G$7:$G$18,$W53))</f>
        <v/>
      </c>
      <c r="E53" s="807" t="n"/>
      <c r="F53" s="831" t="n"/>
      <c r="G53" s="807" t="n"/>
      <c r="H53" s="865">
        <f>IF($U53&lt;&gt;1,"",IF($E53="",N($D53),SUMIF($E$18:$E$77,$E53,$D$18:$D$77))*1000/(IF($V53="L2",N(Equipment!$B$30),Project!$B$29)*IF($V53="L2",1,SQRT(3))))</f>
        <v/>
      </c>
      <c r="I53" s="865">
        <f>IF(N($H53)=0,"",N($H53)*1.25)</f>
        <v/>
      </c>
      <c r="J53" s="865">
        <f>IF(N($I53)=0,"",IF(ISNUMBER(MATCH($I53,OCPD_LIST,0)),$I53,IF($I53&gt;MAX(OCPD_LIST),"ABOVE LIST",INDEX(OCPD_LIST,MATCH($I53,OCPD_LIST,1)+1))))</f>
        <v/>
      </c>
      <c r="K53" s="863">
        <f>IF(OR(N($I53)=0,$B$10=""),"",IF(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gt;ROWS(SZ_SIZE),"PARALLEL SETS",INDEX(SZ_SIZE,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f>
        <v/>
      </c>
      <c r="L53" s="807" t="n"/>
      <c r="M53" s="831" t="n"/>
      <c r="N53" s="865">
        <f>IF(OR(IF($L53&lt;&gt;"",$L53,$K53)="",IF($L53&lt;&gt;"",$L53,$K53)="PARALLEL SETS"),"",IFERROR(INDEX(SZ_AMP,MATCH(IF($L53&lt;&gt;"",$L53,$K53),SZ_SIZE,0))*IF(N($M53)&gt;0,N($M53),MAX(1,N(IFERROR(INDEX(SPEC_CIRC,MATCH(INDEX(Equipment!$C$7:$C$18,MAX(1,N($W53))),SPEC_SKU,0)),1)))),""))</f>
        <v/>
      </c>
      <c r="O53" s="866">
        <f>IF(OR(N($N53)=0,N($F53)=0),"",IFERROR(IF($V53="L2",2,SQRT(3))*N($H53)/IF(N($M53)&gt;0,N($M53),MAX(1,N(IFERROR(INDEX(SPEC_CIRC,MATCH(INDEX(Equipment!$C$7:$C$18,MAX(1,N($W53))),SPEC_SKU,0)),1))))*N($F53)*INDEX(SZ_Z,MATCH(IF($L53&lt;&gt;"",$L53,$K53),SZ_SIZE,0))/1000/IF($V53="L2",N(Equipment!$B$30),Project!$B$29),""))</f>
        <v/>
      </c>
      <c r="P53" s="863">
        <f>IF(N($J53)=0,"",IFERROR(INDEX(IF($B$6="Cu",EGC_CU,EGC_AL),MATCH($J53,EGC_OCPD,1)+IF(ISNUMBER(MATCH($J53,EGC_OCPD,0)),0,1)),""))</f>
        <v/>
      </c>
      <c r="Q53" s="863">
        <f>IF(N($N53)=0,"",IFERROR(INDEX(IF($V53="L2",CND_2G,CND_3G),MATCH(IF($L53&lt;&gt;"",$L53,$K53),CND_SIZE,0)),""))</f>
        <v/>
      </c>
      <c r="R53" s="807" t="n"/>
      <c r="S53" s="867">
        <f>IF(OR(N($F53)=0,N($N53)=0),0,IFERROR(N($F53)*IF(N($M53)&gt;0,N($M53),MAX(1,N(IFERROR(INDEX(SPEC_CIRC,MATCH(INDEX(Equipment!$C$7:$C$18,MAX(1,N($W53))),SPEC_SKU,0)),1))))*IF($V53="L2",2,3)*INDEX(IF($B$6="Cu",WIRE_CU,WIRE_AL),MATCH(IF($L53&lt;&gt;"",$L53,$K53),WIRE_SIZE,0)),0)+IFERROR(N($F53)*IF(N($M53)&gt;0,N($M53),MAX(1,N(IFERROR(INDEX(SPEC_CIRC,MATCH(INDEX(Equipment!$C$7:$C$18,MAX(1,N($W53))),SPEC_SKU,0)),1))))*INDEX(IF($B$6="Cu",WIRE_CU,WIRE_AL),MATCH($P53,WIRE_SIZE,0)),0)+IFERROR(N($F53)*IF(N($M53)&gt;0,N($M53),MAX(1,N(IFERROR(INDEX(SPEC_CIRC,MATCH(INDEX(Equipment!$C$7:$C$18,MAX(1,N($W53))),SPEC_SKU,0)),1))))*INDEX(PVC_RATE,MATCH(IF($R53&lt;&gt;"",$R53,$Q53),PVC_SIZE,0)),0)+IF($V53="L2",0,IFERROR(N($F53)*INDEX(PVC_RATE,MATCH("(3/4"")",PVC_SIZE,0)),0)))</f>
        <v/>
      </c>
      <c r="T53" s="863">
        <f>IF($W53="","",IF($U53=0,"shared — on circuit "&amp;$E53&amp;", sized and priced on its first unit",IF(N($F53)=0,"ENTER THE DISTANCE",IF($B$10="","SET THE DESIGN AMBIENT in block A — nothing on this row can be trusted until it is",IF(IF($L53&lt;&gt;"",$L53,$K53)="PARALLEL SETS","PARALLEL SETS NEEDED — no single conductor carries "&amp;TEXT(N($I53),"#,##0")&amp;" A within the drop allowance; enter sets in column M",IF(N($N53)=0,"no ampacity on file for the override size — NEC Table 310.16 does not list it",IF(N($N53)&lt;IF(N($J53)&gt;800,N($J53),N($I53)),"UNDERSIZED — "&amp;TEXT(N($N53),"#,##0")&amp;" A provided against a floor of "&amp;TEXT(IF(N($J53)&gt;800,N($J53),N($I53)),"#,##0")&amp;" A",IF(N($O53)&gt;$B$13,"ampacity OK but voltage drop "&amp;TEXT(N($O53),"0.0%")&amp;" exceeds the allowance — ADVISORY, upsize the override","OK — "&amp;IF(IF(N($M53)&gt;0,N($M53),MAX(1,N(IFERROR(INDEX(SPEC_CIRC,MATCH(INDEX(Equipment!$C$7:$C$18,MAX(1,N($W53))),SPEC_SKU,0)),1))))&gt;1,TEXT(IF(N($M53)&gt;0,N($M53),MAX(1,N(IFERROR(INDEX(SPEC_CIRC,MATCH(INDEX(Equipment!$C$7:$C$18,MAX(1,N($W53))),SPEC_SKU,0)),1)))),"0")&amp;" sets of ","")&amp;IF($L53&lt;&gt;"",$L53,$K53)&amp;IF($L53&lt;&gt;""," (override)","")&amp;", "&amp;TEXT(N($N53),"#,##0")&amp;" A against a "&amp;TEXT(IF(N($J53)&gt;800,N($J53),N($I53)),"#,##0")&amp;" A floor; drop "&amp;TEXT(N($O53),"0.0%")&amp;" (ADVISORY)"))))))))</f>
        <v/>
      </c>
      <c r="U53" s="868">
        <f>IF($W53="",0,IF($E53="",1,IF(MATCH($E53,$E$18:$E$77,0)=36,1,0)))</f>
        <v/>
      </c>
      <c r="V53" s="869">
        <f>IF($W53="","",IF(INDEX(Equipment!$E$7:$E$18,$W53)="level_2","L2",IF(INDEX(Equipment!$E$7:$E$18,$W53)="power_cabinet","CAB","DC")))</f>
        <v/>
      </c>
      <c r="W53" s="868">
        <f>IF(N($B$80)&gt;=36,COUNTIF(Equipment!$S$7:$S$18,"&lt;36")+1,"")</f>
        <v/>
      </c>
      <c r="X53" s="868">
        <f>IF($U53&lt;&gt;1,"",IF(N($M53)&gt;0,N($M53),MAX(1,N(IFERROR(INDEX(SPEC_CIRC,MATCH(INDEX(Equipment!$C$7:$C$18,MAX(1,N($W53))),SPEC_SKU,0)),1)))))</f>
        <v/>
      </c>
    </row>
    <row r="54" ht="16" customHeight="1" s="254">
      <c r="A54" s="862">
        <f>IF($W54="","","Charger 37")</f>
        <v/>
      </c>
      <c r="B54" s="863">
        <f>IF($W54="","","Line "&amp;$W54&amp;" · "&amp;INDEX(Equipment!$C$7:$C$18,$W54)&amp;" · "&amp;INDEX(Equipment!$B$7:$B$18,$W54)&amp;" · #"&amp;(37-INDEX(Equipment!$R$7:$R$18,$W54)+1)&amp;" of "&amp;INDEX(Equipment!$I$7:$I$18,$W54))</f>
        <v/>
      </c>
      <c r="C54" s="863">
        <f>IF($W54="","",IF($V54="L2",TEXT(N(Equipment!$B$30),"0")&amp;" V 1-ph",TEXT(Project!$B$29,"0")&amp;" V 3-ph"))</f>
        <v/>
      </c>
      <c r="D54" s="864">
        <f>IF($W54="","",INDEX(Equipment!$G$7:$G$18,$W54))</f>
        <v/>
      </c>
      <c r="E54" s="807" t="n"/>
      <c r="F54" s="831" t="n"/>
      <c r="G54" s="807" t="n"/>
      <c r="H54" s="865">
        <f>IF($U54&lt;&gt;1,"",IF($E54="",N($D54),SUMIF($E$18:$E$77,$E54,$D$18:$D$77))*1000/(IF($V54="L2",N(Equipment!$B$30),Project!$B$29)*IF($V54="L2",1,SQRT(3))))</f>
        <v/>
      </c>
      <c r="I54" s="865">
        <f>IF(N($H54)=0,"",N($H54)*1.25)</f>
        <v/>
      </c>
      <c r="J54" s="865">
        <f>IF(N($I54)=0,"",IF(ISNUMBER(MATCH($I54,OCPD_LIST,0)),$I54,IF($I54&gt;MAX(OCPD_LIST),"ABOVE LIST",INDEX(OCPD_LIST,MATCH($I54,OCPD_LIST,1)+1))))</f>
        <v/>
      </c>
      <c r="K54" s="863">
        <f>IF(OR(N($I54)=0,$B$10=""),"",IF(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gt;ROWS(SZ_SIZE),"PARALLEL SETS",INDEX(SZ_SIZE,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f>
        <v/>
      </c>
      <c r="L54" s="807" t="n"/>
      <c r="M54" s="831" t="n"/>
      <c r="N54" s="865">
        <f>IF(OR(IF($L54&lt;&gt;"",$L54,$K54)="",IF($L54&lt;&gt;"",$L54,$K54)="PARALLEL SETS"),"",IFERROR(INDEX(SZ_AMP,MATCH(IF($L54&lt;&gt;"",$L54,$K54),SZ_SIZE,0))*IF(N($M54)&gt;0,N($M54),MAX(1,N(IFERROR(INDEX(SPEC_CIRC,MATCH(INDEX(Equipment!$C$7:$C$18,MAX(1,N($W54))),SPEC_SKU,0)),1)))),""))</f>
        <v/>
      </c>
      <c r="O54" s="866">
        <f>IF(OR(N($N54)=0,N($F54)=0),"",IFERROR(IF($V54="L2",2,SQRT(3))*N($H54)/IF(N($M54)&gt;0,N($M54),MAX(1,N(IFERROR(INDEX(SPEC_CIRC,MATCH(INDEX(Equipment!$C$7:$C$18,MAX(1,N($W54))),SPEC_SKU,0)),1))))*N($F54)*INDEX(SZ_Z,MATCH(IF($L54&lt;&gt;"",$L54,$K54),SZ_SIZE,0))/1000/IF($V54="L2",N(Equipment!$B$30),Project!$B$29),""))</f>
        <v/>
      </c>
      <c r="P54" s="863">
        <f>IF(N($J54)=0,"",IFERROR(INDEX(IF($B$6="Cu",EGC_CU,EGC_AL),MATCH($J54,EGC_OCPD,1)+IF(ISNUMBER(MATCH($J54,EGC_OCPD,0)),0,1)),""))</f>
        <v/>
      </c>
      <c r="Q54" s="863">
        <f>IF(N($N54)=0,"",IFERROR(INDEX(IF($V54="L2",CND_2G,CND_3G),MATCH(IF($L54&lt;&gt;"",$L54,$K54),CND_SIZE,0)),""))</f>
        <v/>
      </c>
      <c r="R54" s="807" t="n"/>
      <c r="S54" s="867">
        <f>IF(OR(N($F54)=0,N($N54)=0),0,IFERROR(N($F54)*IF(N($M54)&gt;0,N($M54),MAX(1,N(IFERROR(INDEX(SPEC_CIRC,MATCH(INDEX(Equipment!$C$7:$C$18,MAX(1,N($W54))),SPEC_SKU,0)),1))))*IF($V54="L2",2,3)*INDEX(IF($B$6="Cu",WIRE_CU,WIRE_AL),MATCH(IF($L54&lt;&gt;"",$L54,$K54),WIRE_SIZE,0)),0)+IFERROR(N($F54)*IF(N($M54)&gt;0,N($M54),MAX(1,N(IFERROR(INDEX(SPEC_CIRC,MATCH(INDEX(Equipment!$C$7:$C$18,MAX(1,N($W54))),SPEC_SKU,0)),1))))*INDEX(IF($B$6="Cu",WIRE_CU,WIRE_AL),MATCH($P54,WIRE_SIZE,0)),0)+IFERROR(N($F54)*IF(N($M54)&gt;0,N($M54),MAX(1,N(IFERROR(INDEX(SPEC_CIRC,MATCH(INDEX(Equipment!$C$7:$C$18,MAX(1,N($W54))),SPEC_SKU,0)),1))))*INDEX(PVC_RATE,MATCH(IF($R54&lt;&gt;"",$R54,$Q54),PVC_SIZE,0)),0)+IF($V54="L2",0,IFERROR(N($F54)*INDEX(PVC_RATE,MATCH("(3/4"")",PVC_SIZE,0)),0)))</f>
        <v/>
      </c>
      <c r="T54" s="863">
        <f>IF($W54="","",IF($U54=0,"shared — on circuit "&amp;$E54&amp;", sized and priced on its first unit",IF(N($F54)=0,"ENTER THE DISTANCE",IF($B$10="","SET THE DESIGN AMBIENT in block A — nothing on this row can be trusted until it is",IF(IF($L54&lt;&gt;"",$L54,$K54)="PARALLEL SETS","PARALLEL SETS NEEDED — no single conductor carries "&amp;TEXT(N($I54),"#,##0")&amp;" A within the drop allowance; enter sets in column M",IF(N($N54)=0,"no ampacity on file for the override size — NEC Table 310.16 does not list it",IF(N($N54)&lt;IF(N($J54)&gt;800,N($J54),N($I54)),"UNDERSIZED — "&amp;TEXT(N($N54),"#,##0")&amp;" A provided against a floor of "&amp;TEXT(IF(N($J54)&gt;800,N($J54),N($I54)),"#,##0")&amp;" A",IF(N($O54)&gt;$B$13,"ampacity OK but voltage drop "&amp;TEXT(N($O54),"0.0%")&amp;" exceeds the allowance — ADVISORY, upsize the override","OK — "&amp;IF(IF(N($M54)&gt;0,N($M54),MAX(1,N(IFERROR(INDEX(SPEC_CIRC,MATCH(INDEX(Equipment!$C$7:$C$18,MAX(1,N($W54))),SPEC_SKU,0)),1))))&gt;1,TEXT(IF(N($M54)&gt;0,N($M54),MAX(1,N(IFERROR(INDEX(SPEC_CIRC,MATCH(INDEX(Equipment!$C$7:$C$18,MAX(1,N($W54))),SPEC_SKU,0)),1)))),"0")&amp;" sets of ","")&amp;IF($L54&lt;&gt;"",$L54,$K54)&amp;IF($L54&lt;&gt;""," (override)","")&amp;", "&amp;TEXT(N($N54),"#,##0")&amp;" A against a "&amp;TEXT(IF(N($J54)&gt;800,N($J54),N($I54)),"#,##0")&amp;" A floor; drop "&amp;TEXT(N($O54),"0.0%")&amp;" (ADVISORY)"))))))))</f>
        <v/>
      </c>
      <c r="U54" s="868">
        <f>IF($W54="",0,IF($E54="",1,IF(MATCH($E54,$E$18:$E$77,0)=37,1,0)))</f>
        <v/>
      </c>
      <c r="V54" s="869">
        <f>IF($W54="","",IF(INDEX(Equipment!$E$7:$E$18,$W54)="level_2","L2",IF(INDEX(Equipment!$E$7:$E$18,$W54)="power_cabinet","CAB","DC")))</f>
        <v/>
      </c>
      <c r="W54" s="868">
        <f>IF(N($B$80)&gt;=37,COUNTIF(Equipment!$S$7:$S$18,"&lt;37")+1,"")</f>
        <v/>
      </c>
      <c r="X54" s="868">
        <f>IF($U54&lt;&gt;1,"",IF(N($M54)&gt;0,N($M54),MAX(1,N(IFERROR(INDEX(SPEC_CIRC,MATCH(INDEX(Equipment!$C$7:$C$18,MAX(1,N($W54))),SPEC_SKU,0)),1)))))</f>
        <v/>
      </c>
    </row>
    <row r="55" ht="16" customHeight="1" s="254">
      <c r="A55" s="862">
        <f>IF($W55="","","Charger 38")</f>
        <v/>
      </c>
      <c r="B55" s="863">
        <f>IF($W55="","","Line "&amp;$W55&amp;" · "&amp;INDEX(Equipment!$C$7:$C$18,$W55)&amp;" · "&amp;INDEX(Equipment!$B$7:$B$18,$W55)&amp;" · #"&amp;(38-INDEX(Equipment!$R$7:$R$18,$W55)+1)&amp;" of "&amp;INDEX(Equipment!$I$7:$I$18,$W55))</f>
        <v/>
      </c>
      <c r="C55" s="863">
        <f>IF($W55="","",IF($V55="L2",TEXT(N(Equipment!$B$30),"0")&amp;" V 1-ph",TEXT(Project!$B$29,"0")&amp;" V 3-ph"))</f>
        <v/>
      </c>
      <c r="D55" s="864">
        <f>IF($W55="","",INDEX(Equipment!$G$7:$G$18,$W55))</f>
        <v/>
      </c>
      <c r="E55" s="807" t="n"/>
      <c r="F55" s="831" t="n"/>
      <c r="G55" s="807" t="n"/>
      <c r="H55" s="865">
        <f>IF($U55&lt;&gt;1,"",IF($E55="",N($D55),SUMIF($E$18:$E$77,$E55,$D$18:$D$77))*1000/(IF($V55="L2",N(Equipment!$B$30),Project!$B$29)*IF($V55="L2",1,SQRT(3))))</f>
        <v/>
      </c>
      <c r="I55" s="865">
        <f>IF(N($H55)=0,"",N($H55)*1.25)</f>
        <v/>
      </c>
      <c r="J55" s="865">
        <f>IF(N($I55)=0,"",IF(ISNUMBER(MATCH($I55,OCPD_LIST,0)),$I55,IF($I55&gt;MAX(OCPD_LIST),"ABOVE LIST",INDEX(OCPD_LIST,MATCH($I55,OCPD_LIST,1)+1))))</f>
        <v/>
      </c>
      <c r="K55" s="863">
        <f>IF(OR(N($I55)=0,$B$10=""),"",IF(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gt;ROWS(SZ_SIZE),"PARALLEL SETS",INDEX(SZ_SIZE,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f>
        <v/>
      </c>
      <c r="L55" s="807" t="n"/>
      <c r="M55" s="831" t="n"/>
      <c r="N55" s="865">
        <f>IF(OR(IF($L55&lt;&gt;"",$L55,$K55)="",IF($L55&lt;&gt;"",$L55,$K55)="PARALLEL SETS"),"",IFERROR(INDEX(SZ_AMP,MATCH(IF($L55&lt;&gt;"",$L55,$K55),SZ_SIZE,0))*IF(N($M55)&gt;0,N($M55),MAX(1,N(IFERROR(INDEX(SPEC_CIRC,MATCH(INDEX(Equipment!$C$7:$C$18,MAX(1,N($W55))),SPEC_SKU,0)),1)))),""))</f>
        <v/>
      </c>
      <c r="O55" s="866">
        <f>IF(OR(N($N55)=0,N($F55)=0),"",IFERROR(IF($V55="L2",2,SQRT(3))*N($H55)/IF(N($M55)&gt;0,N($M55),MAX(1,N(IFERROR(INDEX(SPEC_CIRC,MATCH(INDEX(Equipment!$C$7:$C$18,MAX(1,N($W55))),SPEC_SKU,0)),1))))*N($F55)*INDEX(SZ_Z,MATCH(IF($L55&lt;&gt;"",$L55,$K55),SZ_SIZE,0))/1000/IF($V55="L2",N(Equipment!$B$30),Project!$B$29),""))</f>
        <v/>
      </c>
      <c r="P55" s="863">
        <f>IF(N($J55)=0,"",IFERROR(INDEX(IF($B$6="Cu",EGC_CU,EGC_AL),MATCH($J55,EGC_OCPD,1)+IF(ISNUMBER(MATCH($J55,EGC_OCPD,0)),0,1)),""))</f>
        <v/>
      </c>
      <c r="Q55" s="863">
        <f>IF(N($N55)=0,"",IFERROR(INDEX(IF($V55="L2",CND_2G,CND_3G),MATCH(IF($L55&lt;&gt;"",$L55,$K55),CND_SIZE,0)),""))</f>
        <v/>
      </c>
      <c r="R55" s="807" t="n"/>
      <c r="S55" s="867">
        <f>IF(OR(N($F55)=0,N($N55)=0),0,IFERROR(N($F55)*IF(N($M55)&gt;0,N($M55),MAX(1,N(IFERROR(INDEX(SPEC_CIRC,MATCH(INDEX(Equipment!$C$7:$C$18,MAX(1,N($W55))),SPEC_SKU,0)),1))))*IF($V55="L2",2,3)*INDEX(IF($B$6="Cu",WIRE_CU,WIRE_AL),MATCH(IF($L55&lt;&gt;"",$L55,$K55),WIRE_SIZE,0)),0)+IFERROR(N($F55)*IF(N($M55)&gt;0,N($M55),MAX(1,N(IFERROR(INDEX(SPEC_CIRC,MATCH(INDEX(Equipment!$C$7:$C$18,MAX(1,N($W55))),SPEC_SKU,0)),1))))*INDEX(IF($B$6="Cu",WIRE_CU,WIRE_AL),MATCH($P55,WIRE_SIZE,0)),0)+IFERROR(N($F55)*IF(N($M55)&gt;0,N($M55),MAX(1,N(IFERROR(INDEX(SPEC_CIRC,MATCH(INDEX(Equipment!$C$7:$C$18,MAX(1,N($W55))),SPEC_SKU,0)),1))))*INDEX(PVC_RATE,MATCH(IF($R55&lt;&gt;"",$R55,$Q55),PVC_SIZE,0)),0)+IF($V55="L2",0,IFERROR(N($F55)*INDEX(PVC_RATE,MATCH("(3/4"")",PVC_SIZE,0)),0)))</f>
        <v/>
      </c>
      <c r="T55" s="863">
        <f>IF($W55="","",IF($U55=0,"shared — on circuit "&amp;$E55&amp;", sized and priced on its first unit",IF(N($F55)=0,"ENTER THE DISTANCE",IF($B$10="","SET THE DESIGN AMBIENT in block A — nothing on this row can be trusted until it is",IF(IF($L55&lt;&gt;"",$L55,$K55)="PARALLEL SETS","PARALLEL SETS NEEDED — no single conductor carries "&amp;TEXT(N($I55),"#,##0")&amp;" A within the drop allowance; enter sets in column M",IF(N($N55)=0,"no ampacity on file for the override size — NEC Table 310.16 does not list it",IF(N($N55)&lt;IF(N($J55)&gt;800,N($J55),N($I55)),"UNDERSIZED — "&amp;TEXT(N($N55),"#,##0")&amp;" A provided against a floor of "&amp;TEXT(IF(N($J55)&gt;800,N($J55),N($I55)),"#,##0")&amp;" A",IF(N($O55)&gt;$B$13,"ampacity OK but voltage drop "&amp;TEXT(N($O55),"0.0%")&amp;" exceeds the allowance — ADVISORY, upsize the override","OK — "&amp;IF(IF(N($M55)&gt;0,N($M55),MAX(1,N(IFERROR(INDEX(SPEC_CIRC,MATCH(INDEX(Equipment!$C$7:$C$18,MAX(1,N($W55))),SPEC_SKU,0)),1))))&gt;1,TEXT(IF(N($M55)&gt;0,N($M55),MAX(1,N(IFERROR(INDEX(SPEC_CIRC,MATCH(INDEX(Equipment!$C$7:$C$18,MAX(1,N($W55))),SPEC_SKU,0)),1)))),"0")&amp;" sets of ","")&amp;IF($L55&lt;&gt;"",$L55,$K55)&amp;IF($L55&lt;&gt;""," (override)","")&amp;", "&amp;TEXT(N($N55),"#,##0")&amp;" A against a "&amp;TEXT(IF(N($J55)&gt;800,N($J55),N($I55)),"#,##0")&amp;" A floor; drop "&amp;TEXT(N($O55),"0.0%")&amp;" (ADVISORY)"))))))))</f>
        <v/>
      </c>
      <c r="U55" s="868">
        <f>IF($W55="",0,IF($E55="",1,IF(MATCH($E55,$E$18:$E$77,0)=38,1,0)))</f>
        <v/>
      </c>
      <c r="V55" s="869">
        <f>IF($W55="","",IF(INDEX(Equipment!$E$7:$E$18,$W55)="level_2","L2",IF(INDEX(Equipment!$E$7:$E$18,$W55)="power_cabinet","CAB","DC")))</f>
        <v/>
      </c>
      <c r="W55" s="868">
        <f>IF(N($B$80)&gt;=38,COUNTIF(Equipment!$S$7:$S$18,"&lt;38")+1,"")</f>
        <v/>
      </c>
      <c r="X55" s="868">
        <f>IF($U55&lt;&gt;1,"",IF(N($M55)&gt;0,N($M55),MAX(1,N(IFERROR(INDEX(SPEC_CIRC,MATCH(INDEX(Equipment!$C$7:$C$18,MAX(1,N($W55))),SPEC_SKU,0)),1)))))</f>
        <v/>
      </c>
    </row>
    <row r="56" ht="16" customHeight="1" s="254">
      <c r="A56" s="862">
        <f>IF($W56="","","Charger 39")</f>
        <v/>
      </c>
      <c r="B56" s="863">
        <f>IF($W56="","","Line "&amp;$W56&amp;" · "&amp;INDEX(Equipment!$C$7:$C$18,$W56)&amp;" · "&amp;INDEX(Equipment!$B$7:$B$18,$W56)&amp;" · #"&amp;(39-INDEX(Equipment!$R$7:$R$18,$W56)+1)&amp;" of "&amp;INDEX(Equipment!$I$7:$I$18,$W56))</f>
        <v/>
      </c>
      <c r="C56" s="863">
        <f>IF($W56="","",IF($V56="L2",TEXT(N(Equipment!$B$30),"0")&amp;" V 1-ph",TEXT(Project!$B$29,"0")&amp;" V 3-ph"))</f>
        <v/>
      </c>
      <c r="D56" s="864">
        <f>IF($W56="","",INDEX(Equipment!$G$7:$G$18,$W56))</f>
        <v/>
      </c>
      <c r="E56" s="807" t="n"/>
      <c r="F56" s="831" t="n"/>
      <c r="G56" s="807" t="n"/>
      <c r="H56" s="865">
        <f>IF($U56&lt;&gt;1,"",IF($E56="",N($D56),SUMIF($E$18:$E$77,$E56,$D$18:$D$77))*1000/(IF($V56="L2",N(Equipment!$B$30),Project!$B$29)*IF($V56="L2",1,SQRT(3))))</f>
        <v/>
      </c>
      <c r="I56" s="865">
        <f>IF(N($H56)=0,"",N($H56)*1.25)</f>
        <v/>
      </c>
      <c r="J56" s="865">
        <f>IF(N($I56)=0,"",IF(ISNUMBER(MATCH($I56,OCPD_LIST,0)),$I56,IF($I56&gt;MAX(OCPD_LIST),"ABOVE LIST",INDEX(OCPD_LIST,MATCH($I56,OCPD_LIST,1)+1))))</f>
        <v/>
      </c>
      <c r="K56" s="863">
        <f>IF(OR(N($I56)=0,$B$10=""),"",IF(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gt;ROWS(SZ_SIZE),"PARALLEL SETS",INDEX(SZ_SIZE,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f>
        <v/>
      </c>
      <c r="L56" s="807" t="n"/>
      <c r="M56" s="831" t="n"/>
      <c r="N56" s="865">
        <f>IF(OR(IF($L56&lt;&gt;"",$L56,$K56)="",IF($L56&lt;&gt;"",$L56,$K56)="PARALLEL SETS"),"",IFERROR(INDEX(SZ_AMP,MATCH(IF($L56&lt;&gt;"",$L56,$K56),SZ_SIZE,0))*IF(N($M56)&gt;0,N($M56),MAX(1,N(IFERROR(INDEX(SPEC_CIRC,MATCH(INDEX(Equipment!$C$7:$C$18,MAX(1,N($W56))),SPEC_SKU,0)),1)))),""))</f>
        <v/>
      </c>
      <c r="O56" s="866">
        <f>IF(OR(N($N56)=0,N($F56)=0),"",IFERROR(IF($V56="L2",2,SQRT(3))*N($H56)/IF(N($M56)&gt;0,N($M56),MAX(1,N(IFERROR(INDEX(SPEC_CIRC,MATCH(INDEX(Equipment!$C$7:$C$18,MAX(1,N($W56))),SPEC_SKU,0)),1))))*N($F56)*INDEX(SZ_Z,MATCH(IF($L56&lt;&gt;"",$L56,$K56),SZ_SIZE,0))/1000/IF($V56="L2",N(Equipment!$B$30),Project!$B$29),""))</f>
        <v/>
      </c>
      <c r="P56" s="863">
        <f>IF(N($J56)=0,"",IFERROR(INDEX(IF($B$6="Cu",EGC_CU,EGC_AL),MATCH($J56,EGC_OCPD,1)+IF(ISNUMBER(MATCH($J56,EGC_OCPD,0)),0,1)),""))</f>
        <v/>
      </c>
      <c r="Q56" s="863">
        <f>IF(N($N56)=0,"",IFERROR(INDEX(IF($V56="L2",CND_2G,CND_3G),MATCH(IF($L56&lt;&gt;"",$L56,$K56),CND_SIZE,0)),""))</f>
        <v/>
      </c>
      <c r="R56" s="807" t="n"/>
      <c r="S56" s="867">
        <f>IF(OR(N($F56)=0,N($N56)=0),0,IFERROR(N($F56)*IF(N($M56)&gt;0,N($M56),MAX(1,N(IFERROR(INDEX(SPEC_CIRC,MATCH(INDEX(Equipment!$C$7:$C$18,MAX(1,N($W56))),SPEC_SKU,0)),1))))*IF($V56="L2",2,3)*INDEX(IF($B$6="Cu",WIRE_CU,WIRE_AL),MATCH(IF($L56&lt;&gt;"",$L56,$K56),WIRE_SIZE,0)),0)+IFERROR(N($F56)*IF(N($M56)&gt;0,N($M56),MAX(1,N(IFERROR(INDEX(SPEC_CIRC,MATCH(INDEX(Equipment!$C$7:$C$18,MAX(1,N($W56))),SPEC_SKU,0)),1))))*INDEX(IF($B$6="Cu",WIRE_CU,WIRE_AL),MATCH($P56,WIRE_SIZE,0)),0)+IFERROR(N($F56)*IF(N($M56)&gt;0,N($M56),MAX(1,N(IFERROR(INDEX(SPEC_CIRC,MATCH(INDEX(Equipment!$C$7:$C$18,MAX(1,N($W56))),SPEC_SKU,0)),1))))*INDEX(PVC_RATE,MATCH(IF($R56&lt;&gt;"",$R56,$Q56),PVC_SIZE,0)),0)+IF($V56="L2",0,IFERROR(N($F56)*INDEX(PVC_RATE,MATCH("(3/4"")",PVC_SIZE,0)),0)))</f>
        <v/>
      </c>
      <c r="T56" s="863">
        <f>IF($W56="","",IF($U56=0,"shared — on circuit "&amp;$E56&amp;", sized and priced on its first unit",IF(N($F56)=0,"ENTER THE DISTANCE",IF($B$10="","SET THE DESIGN AMBIENT in block A — nothing on this row can be trusted until it is",IF(IF($L56&lt;&gt;"",$L56,$K56)="PARALLEL SETS","PARALLEL SETS NEEDED — no single conductor carries "&amp;TEXT(N($I56),"#,##0")&amp;" A within the drop allowance; enter sets in column M",IF(N($N56)=0,"no ampacity on file for the override size — NEC Table 310.16 does not list it",IF(N($N56)&lt;IF(N($J56)&gt;800,N($J56),N($I56)),"UNDERSIZED — "&amp;TEXT(N($N56),"#,##0")&amp;" A provided against a floor of "&amp;TEXT(IF(N($J56)&gt;800,N($J56),N($I56)),"#,##0")&amp;" A",IF(N($O56)&gt;$B$13,"ampacity OK but voltage drop "&amp;TEXT(N($O56),"0.0%")&amp;" exceeds the allowance — ADVISORY, upsize the override","OK — "&amp;IF(IF(N($M56)&gt;0,N($M56),MAX(1,N(IFERROR(INDEX(SPEC_CIRC,MATCH(INDEX(Equipment!$C$7:$C$18,MAX(1,N($W56))),SPEC_SKU,0)),1))))&gt;1,TEXT(IF(N($M56)&gt;0,N($M56),MAX(1,N(IFERROR(INDEX(SPEC_CIRC,MATCH(INDEX(Equipment!$C$7:$C$18,MAX(1,N($W56))),SPEC_SKU,0)),1)))),"0")&amp;" sets of ","")&amp;IF($L56&lt;&gt;"",$L56,$K56)&amp;IF($L56&lt;&gt;""," (override)","")&amp;", "&amp;TEXT(N($N56),"#,##0")&amp;" A against a "&amp;TEXT(IF(N($J56)&gt;800,N($J56),N($I56)),"#,##0")&amp;" A floor; drop "&amp;TEXT(N($O56),"0.0%")&amp;" (ADVISORY)"))))))))</f>
        <v/>
      </c>
      <c r="U56" s="868">
        <f>IF($W56="",0,IF($E56="",1,IF(MATCH($E56,$E$18:$E$77,0)=39,1,0)))</f>
        <v/>
      </c>
      <c r="V56" s="869">
        <f>IF($W56="","",IF(INDEX(Equipment!$E$7:$E$18,$W56)="level_2","L2",IF(INDEX(Equipment!$E$7:$E$18,$W56)="power_cabinet","CAB","DC")))</f>
        <v/>
      </c>
      <c r="W56" s="868">
        <f>IF(N($B$80)&gt;=39,COUNTIF(Equipment!$S$7:$S$18,"&lt;39")+1,"")</f>
        <v/>
      </c>
      <c r="X56" s="868">
        <f>IF($U56&lt;&gt;1,"",IF(N($M56)&gt;0,N($M56),MAX(1,N(IFERROR(INDEX(SPEC_CIRC,MATCH(INDEX(Equipment!$C$7:$C$18,MAX(1,N($W56))),SPEC_SKU,0)),1)))))</f>
        <v/>
      </c>
    </row>
    <row r="57" ht="16" customHeight="1" s="254">
      <c r="A57" s="862">
        <f>IF($W57="","","Charger 40")</f>
        <v/>
      </c>
      <c r="B57" s="863">
        <f>IF($W57="","","Line "&amp;$W57&amp;" · "&amp;INDEX(Equipment!$C$7:$C$18,$W57)&amp;" · "&amp;INDEX(Equipment!$B$7:$B$18,$W57)&amp;" · #"&amp;(40-INDEX(Equipment!$R$7:$R$18,$W57)+1)&amp;" of "&amp;INDEX(Equipment!$I$7:$I$18,$W57))</f>
        <v/>
      </c>
      <c r="C57" s="863">
        <f>IF($W57="","",IF($V57="L2",TEXT(N(Equipment!$B$30),"0")&amp;" V 1-ph",TEXT(Project!$B$29,"0")&amp;" V 3-ph"))</f>
        <v/>
      </c>
      <c r="D57" s="864">
        <f>IF($W57="","",INDEX(Equipment!$G$7:$G$18,$W57))</f>
        <v/>
      </c>
      <c r="E57" s="807" t="n"/>
      <c r="F57" s="831" t="n"/>
      <c r="G57" s="807" t="n"/>
      <c r="H57" s="865">
        <f>IF($U57&lt;&gt;1,"",IF($E57="",N($D57),SUMIF($E$18:$E$77,$E57,$D$18:$D$77))*1000/(IF($V57="L2",N(Equipment!$B$30),Project!$B$29)*IF($V57="L2",1,SQRT(3))))</f>
        <v/>
      </c>
      <c r="I57" s="865">
        <f>IF(N($H57)=0,"",N($H57)*1.25)</f>
        <v/>
      </c>
      <c r="J57" s="865">
        <f>IF(N($I57)=0,"",IF(ISNUMBER(MATCH($I57,OCPD_LIST,0)),$I57,IF($I57&gt;MAX(OCPD_LIST),"ABOVE LIST",INDEX(OCPD_LIST,MATCH($I57,OCPD_LIST,1)+1))))</f>
        <v/>
      </c>
      <c r="K57" s="863">
        <f>IF(OR(N($I57)=0,$B$10=""),"",IF(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gt;ROWS(SZ_SIZE),"PARALLEL SETS",INDEX(SZ_SIZE,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f>
        <v/>
      </c>
      <c r="L57" s="807" t="n"/>
      <c r="M57" s="831" t="n"/>
      <c r="N57" s="865">
        <f>IF(OR(IF($L57&lt;&gt;"",$L57,$K57)="",IF($L57&lt;&gt;"",$L57,$K57)="PARALLEL SETS"),"",IFERROR(INDEX(SZ_AMP,MATCH(IF($L57&lt;&gt;"",$L57,$K57),SZ_SIZE,0))*IF(N($M57)&gt;0,N($M57),MAX(1,N(IFERROR(INDEX(SPEC_CIRC,MATCH(INDEX(Equipment!$C$7:$C$18,MAX(1,N($W57))),SPEC_SKU,0)),1)))),""))</f>
        <v/>
      </c>
      <c r="O57" s="866">
        <f>IF(OR(N($N57)=0,N($F57)=0),"",IFERROR(IF($V57="L2",2,SQRT(3))*N($H57)/IF(N($M57)&gt;0,N($M57),MAX(1,N(IFERROR(INDEX(SPEC_CIRC,MATCH(INDEX(Equipment!$C$7:$C$18,MAX(1,N($W57))),SPEC_SKU,0)),1))))*N($F57)*INDEX(SZ_Z,MATCH(IF($L57&lt;&gt;"",$L57,$K57),SZ_SIZE,0))/1000/IF($V57="L2",N(Equipment!$B$30),Project!$B$29),""))</f>
        <v/>
      </c>
      <c r="P57" s="863">
        <f>IF(N($J57)=0,"",IFERROR(INDEX(IF($B$6="Cu",EGC_CU,EGC_AL),MATCH($J57,EGC_OCPD,1)+IF(ISNUMBER(MATCH($J57,EGC_OCPD,0)),0,1)),""))</f>
        <v/>
      </c>
      <c r="Q57" s="863">
        <f>IF(N($N57)=0,"",IFERROR(INDEX(IF($V57="L2",CND_2G,CND_3G),MATCH(IF($L57&lt;&gt;"",$L57,$K57),CND_SIZE,0)),""))</f>
        <v/>
      </c>
      <c r="R57" s="807" t="n"/>
      <c r="S57" s="867">
        <f>IF(OR(N($F57)=0,N($N57)=0),0,IFERROR(N($F57)*IF(N($M57)&gt;0,N($M57),MAX(1,N(IFERROR(INDEX(SPEC_CIRC,MATCH(INDEX(Equipment!$C$7:$C$18,MAX(1,N($W57))),SPEC_SKU,0)),1))))*IF($V57="L2",2,3)*INDEX(IF($B$6="Cu",WIRE_CU,WIRE_AL),MATCH(IF($L57&lt;&gt;"",$L57,$K57),WIRE_SIZE,0)),0)+IFERROR(N($F57)*IF(N($M57)&gt;0,N($M57),MAX(1,N(IFERROR(INDEX(SPEC_CIRC,MATCH(INDEX(Equipment!$C$7:$C$18,MAX(1,N($W57))),SPEC_SKU,0)),1))))*INDEX(IF($B$6="Cu",WIRE_CU,WIRE_AL),MATCH($P57,WIRE_SIZE,0)),0)+IFERROR(N($F57)*IF(N($M57)&gt;0,N($M57),MAX(1,N(IFERROR(INDEX(SPEC_CIRC,MATCH(INDEX(Equipment!$C$7:$C$18,MAX(1,N($W57))),SPEC_SKU,0)),1))))*INDEX(PVC_RATE,MATCH(IF($R57&lt;&gt;"",$R57,$Q57),PVC_SIZE,0)),0)+IF($V57="L2",0,IFERROR(N($F57)*INDEX(PVC_RATE,MATCH("(3/4"")",PVC_SIZE,0)),0)))</f>
        <v/>
      </c>
      <c r="T57" s="863">
        <f>IF($W57="","",IF($U57=0,"shared — on circuit "&amp;$E57&amp;", sized and priced on its first unit",IF(N($F57)=0,"ENTER THE DISTANCE",IF($B$10="","SET THE DESIGN AMBIENT in block A — nothing on this row can be trusted until it is",IF(IF($L57&lt;&gt;"",$L57,$K57)="PARALLEL SETS","PARALLEL SETS NEEDED — no single conductor carries "&amp;TEXT(N($I57),"#,##0")&amp;" A within the drop allowance; enter sets in column M",IF(N($N57)=0,"no ampacity on file for the override size — NEC Table 310.16 does not list it",IF(N($N57)&lt;IF(N($J57)&gt;800,N($J57),N($I57)),"UNDERSIZED — "&amp;TEXT(N($N57),"#,##0")&amp;" A provided against a floor of "&amp;TEXT(IF(N($J57)&gt;800,N($J57),N($I57)),"#,##0")&amp;" A",IF(N($O57)&gt;$B$13,"ampacity OK but voltage drop "&amp;TEXT(N($O57),"0.0%")&amp;" exceeds the allowance — ADVISORY, upsize the override","OK — "&amp;IF(IF(N($M57)&gt;0,N($M57),MAX(1,N(IFERROR(INDEX(SPEC_CIRC,MATCH(INDEX(Equipment!$C$7:$C$18,MAX(1,N($W57))),SPEC_SKU,0)),1))))&gt;1,TEXT(IF(N($M57)&gt;0,N($M57),MAX(1,N(IFERROR(INDEX(SPEC_CIRC,MATCH(INDEX(Equipment!$C$7:$C$18,MAX(1,N($W57))),SPEC_SKU,0)),1)))),"0")&amp;" sets of ","")&amp;IF($L57&lt;&gt;"",$L57,$K57)&amp;IF($L57&lt;&gt;""," (override)","")&amp;", "&amp;TEXT(N($N57),"#,##0")&amp;" A against a "&amp;TEXT(IF(N($J57)&gt;800,N($J57),N($I57)),"#,##0")&amp;" A floor; drop "&amp;TEXT(N($O57),"0.0%")&amp;" (ADVISORY)"))))))))</f>
        <v/>
      </c>
      <c r="U57" s="868">
        <f>IF($W57="",0,IF($E57="",1,IF(MATCH($E57,$E$18:$E$77,0)=40,1,0)))</f>
        <v/>
      </c>
      <c r="V57" s="869">
        <f>IF($W57="","",IF(INDEX(Equipment!$E$7:$E$18,$W57)="level_2","L2",IF(INDEX(Equipment!$E$7:$E$18,$W57)="power_cabinet","CAB","DC")))</f>
        <v/>
      </c>
      <c r="W57" s="868">
        <f>IF(N($B$80)&gt;=40,COUNTIF(Equipment!$S$7:$S$18,"&lt;40")+1,"")</f>
        <v/>
      </c>
      <c r="X57" s="868">
        <f>IF($U57&lt;&gt;1,"",IF(N($M57)&gt;0,N($M57),MAX(1,N(IFERROR(INDEX(SPEC_CIRC,MATCH(INDEX(Equipment!$C$7:$C$18,MAX(1,N($W57))),SPEC_SKU,0)),1)))))</f>
        <v/>
      </c>
    </row>
    <row r="58" ht="16" customHeight="1" s="254">
      <c r="A58" s="862">
        <f>IF($W58="","","Charger 41")</f>
        <v/>
      </c>
      <c r="B58" s="863">
        <f>IF($W58="","","Line "&amp;$W58&amp;" · "&amp;INDEX(Equipment!$C$7:$C$18,$W58)&amp;" · "&amp;INDEX(Equipment!$B$7:$B$18,$W58)&amp;" · #"&amp;(41-INDEX(Equipment!$R$7:$R$18,$W58)+1)&amp;" of "&amp;INDEX(Equipment!$I$7:$I$18,$W58))</f>
        <v/>
      </c>
      <c r="C58" s="863">
        <f>IF($W58="","",IF($V58="L2",TEXT(N(Equipment!$B$30),"0")&amp;" V 1-ph",TEXT(Project!$B$29,"0")&amp;" V 3-ph"))</f>
        <v/>
      </c>
      <c r="D58" s="864">
        <f>IF($W58="","",INDEX(Equipment!$G$7:$G$18,$W58))</f>
        <v/>
      </c>
      <c r="E58" s="807" t="n"/>
      <c r="F58" s="831" t="n"/>
      <c r="G58" s="807" t="n"/>
      <c r="H58" s="865">
        <f>IF($U58&lt;&gt;1,"",IF($E58="",N($D58),SUMIF($E$18:$E$77,$E58,$D$18:$D$77))*1000/(IF($V58="L2",N(Equipment!$B$30),Project!$B$29)*IF($V58="L2",1,SQRT(3))))</f>
        <v/>
      </c>
      <c r="I58" s="865">
        <f>IF(N($H58)=0,"",N($H58)*1.25)</f>
        <v/>
      </c>
      <c r="J58" s="865">
        <f>IF(N($I58)=0,"",IF(ISNUMBER(MATCH($I58,OCPD_LIST,0)),$I58,IF($I58&gt;MAX(OCPD_LIST),"ABOVE LIST",INDEX(OCPD_LIST,MATCH($I58,OCPD_LIST,1)+1))))</f>
        <v/>
      </c>
      <c r="K58" s="863">
        <f>IF(OR(N($I58)=0,$B$10=""),"",IF(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gt;ROWS(SZ_SIZE),"PARALLEL SETS",INDEX(SZ_SIZE,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f>
        <v/>
      </c>
      <c r="L58" s="807" t="n"/>
      <c r="M58" s="831" t="n"/>
      <c r="N58" s="865">
        <f>IF(OR(IF($L58&lt;&gt;"",$L58,$K58)="",IF($L58&lt;&gt;"",$L58,$K58)="PARALLEL SETS"),"",IFERROR(INDEX(SZ_AMP,MATCH(IF($L58&lt;&gt;"",$L58,$K58),SZ_SIZE,0))*IF(N($M58)&gt;0,N($M58),MAX(1,N(IFERROR(INDEX(SPEC_CIRC,MATCH(INDEX(Equipment!$C$7:$C$18,MAX(1,N($W58))),SPEC_SKU,0)),1)))),""))</f>
        <v/>
      </c>
      <c r="O58" s="866">
        <f>IF(OR(N($N58)=0,N($F58)=0),"",IFERROR(IF($V58="L2",2,SQRT(3))*N($H58)/IF(N($M58)&gt;0,N($M58),MAX(1,N(IFERROR(INDEX(SPEC_CIRC,MATCH(INDEX(Equipment!$C$7:$C$18,MAX(1,N($W58))),SPEC_SKU,0)),1))))*N($F58)*INDEX(SZ_Z,MATCH(IF($L58&lt;&gt;"",$L58,$K58),SZ_SIZE,0))/1000/IF($V58="L2",N(Equipment!$B$30),Project!$B$29),""))</f>
        <v/>
      </c>
      <c r="P58" s="863">
        <f>IF(N($J58)=0,"",IFERROR(INDEX(IF($B$6="Cu",EGC_CU,EGC_AL),MATCH($J58,EGC_OCPD,1)+IF(ISNUMBER(MATCH($J58,EGC_OCPD,0)),0,1)),""))</f>
        <v/>
      </c>
      <c r="Q58" s="863">
        <f>IF(N($N58)=0,"",IFERROR(INDEX(IF($V58="L2",CND_2G,CND_3G),MATCH(IF($L58&lt;&gt;"",$L58,$K58),CND_SIZE,0)),""))</f>
        <v/>
      </c>
      <c r="R58" s="807" t="n"/>
      <c r="S58" s="867">
        <f>IF(OR(N($F58)=0,N($N58)=0),0,IFERROR(N($F58)*IF(N($M58)&gt;0,N($M58),MAX(1,N(IFERROR(INDEX(SPEC_CIRC,MATCH(INDEX(Equipment!$C$7:$C$18,MAX(1,N($W58))),SPEC_SKU,0)),1))))*IF($V58="L2",2,3)*INDEX(IF($B$6="Cu",WIRE_CU,WIRE_AL),MATCH(IF($L58&lt;&gt;"",$L58,$K58),WIRE_SIZE,0)),0)+IFERROR(N($F58)*IF(N($M58)&gt;0,N($M58),MAX(1,N(IFERROR(INDEX(SPEC_CIRC,MATCH(INDEX(Equipment!$C$7:$C$18,MAX(1,N($W58))),SPEC_SKU,0)),1))))*INDEX(IF($B$6="Cu",WIRE_CU,WIRE_AL),MATCH($P58,WIRE_SIZE,0)),0)+IFERROR(N($F58)*IF(N($M58)&gt;0,N($M58),MAX(1,N(IFERROR(INDEX(SPEC_CIRC,MATCH(INDEX(Equipment!$C$7:$C$18,MAX(1,N($W58))),SPEC_SKU,0)),1))))*INDEX(PVC_RATE,MATCH(IF($R58&lt;&gt;"",$R58,$Q58),PVC_SIZE,0)),0)+IF($V58="L2",0,IFERROR(N($F58)*INDEX(PVC_RATE,MATCH("(3/4"")",PVC_SIZE,0)),0)))</f>
        <v/>
      </c>
      <c r="T58" s="863">
        <f>IF($W58="","",IF($U58=0,"shared — on circuit "&amp;$E58&amp;", sized and priced on its first unit",IF(N($F58)=0,"ENTER THE DISTANCE",IF($B$10="","SET THE DESIGN AMBIENT in block A — nothing on this row can be trusted until it is",IF(IF($L58&lt;&gt;"",$L58,$K58)="PARALLEL SETS","PARALLEL SETS NEEDED — no single conductor carries "&amp;TEXT(N($I58),"#,##0")&amp;" A within the drop allowance; enter sets in column M",IF(N($N58)=0,"no ampacity on file for the override size — NEC Table 310.16 does not list it",IF(N($N58)&lt;IF(N($J58)&gt;800,N($J58),N($I58)),"UNDERSIZED — "&amp;TEXT(N($N58),"#,##0")&amp;" A provided against a floor of "&amp;TEXT(IF(N($J58)&gt;800,N($J58),N($I58)),"#,##0")&amp;" A",IF(N($O58)&gt;$B$13,"ampacity OK but voltage drop "&amp;TEXT(N($O58),"0.0%")&amp;" exceeds the allowance — ADVISORY, upsize the override","OK — "&amp;IF(IF(N($M58)&gt;0,N($M58),MAX(1,N(IFERROR(INDEX(SPEC_CIRC,MATCH(INDEX(Equipment!$C$7:$C$18,MAX(1,N($W58))),SPEC_SKU,0)),1))))&gt;1,TEXT(IF(N($M58)&gt;0,N($M58),MAX(1,N(IFERROR(INDEX(SPEC_CIRC,MATCH(INDEX(Equipment!$C$7:$C$18,MAX(1,N($W58))),SPEC_SKU,0)),1)))),"0")&amp;" sets of ","")&amp;IF($L58&lt;&gt;"",$L58,$K58)&amp;IF($L58&lt;&gt;""," (override)","")&amp;", "&amp;TEXT(N($N58),"#,##0")&amp;" A against a "&amp;TEXT(IF(N($J58)&gt;800,N($J58),N($I58)),"#,##0")&amp;" A floor; drop "&amp;TEXT(N($O58),"0.0%")&amp;" (ADVISORY)"))))))))</f>
        <v/>
      </c>
      <c r="U58" s="868">
        <f>IF($W58="",0,IF($E58="",1,IF(MATCH($E58,$E$18:$E$77,0)=41,1,0)))</f>
        <v/>
      </c>
      <c r="V58" s="869">
        <f>IF($W58="","",IF(INDEX(Equipment!$E$7:$E$18,$W58)="level_2","L2",IF(INDEX(Equipment!$E$7:$E$18,$W58)="power_cabinet","CAB","DC")))</f>
        <v/>
      </c>
      <c r="W58" s="868">
        <f>IF(N($B$80)&gt;=41,COUNTIF(Equipment!$S$7:$S$18,"&lt;41")+1,"")</f>
        <v/>
      </c>
      <c r="X58" s="868">
        <f>IF($U58&lt;&gt;1,"",IF(N($M58)&gt;0,N($M58),MAX(1,N(IFERROR(INDEX(SPEC_CIRC,MATCH(INDEX(Equipment!$C$7:$C$18,MAX(1,N($W58))),SPEC_SKU,0)),1)))))</f>
        <v/>
      </c>
    </row>
    <row r="59" ht="16" customHeight="1" s="254">
      <c r="A59" s="862">
        <f>IF($W59="","","Charger 42")</f>
        <v/>
      </c>
      <c r="B59" s="863">
        <f>IF($W59="","","Line "&amp;$W59&amp;" · "&amp;INDEX(Equipment!$C$7:$C$18,$W59)&amp;" · "&amp;INDEX(Equipment!$B$7:$B$18,$W59)&amp;" · #"&amp;(42-INDEX(Equipment!$R$7:$R$18,$W59)+1)&amp;" of "&amp;INDEX(Equipment!$I$7:$I$18,$W59))</f>
        <v/>
      </c>
      <c r="C59" s="863">
        <f>IF($W59="","",IF($V59="L2",TEXT(N(Equipment!$B$30),"0")&amp;" V 1-ph",TEXT(Project!$B$29,"0")&amp;" V 3-ph"))</f>
        <v/>
      </c>
      <c r="D59" s="864">
        <f>IF($W59="","",INDEX(Equipment!$G$7:$G$18,$W59))</f>
        <v/>
      </c>
      <c r="E59" s="807" t="n"/>
      <c r="F59" s="831" t="n"/>
      <c r="G59" s="807" t="n"/>
      <c r="H59" s="865">
        <f>IF($U59&lt;&gt;1,"",IF($E59="",N($D59),SUMIF($E$18:$E$77,$E59,$D$18:$D$77))*1000/(IF($V59="L2",N(Equipment!$B$30),Project!$B$29)*IF($V59="L2",1,SQRT(3))))</f>
        <v/>
      </c>
      <c r="I59" s="865">
        <f>IF(N($H59)=0,"",N($H59)*1.25)</f>
        <v/>
      </c>
      <c r="J59" s="865">
        <f>IF(N($I59)=0,"",IF(ISNUMBER(MATCH($I59,OCPD_LIST,0)),$I59,IF($I59&gt;MAX(OCPD_LIST),"ABOVE LIST",INDEX(OCPD_LIST,MATCH($I59,OCPD_LIST,1)+1))))</f>
        <v/>
      </c>
      <c r="K59" s="863">
        <f>IF(OR(N($I59)=0,$B$10=""),"",IF(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gt;ROWS(SZ_SIZE),"PARALLEL SETS",INDEX(SZ_SIZE,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f>
        <v/>
      </c>
      <c r="L59" s="807" t="n"/>
      <c r="M59" s="831" t="n"/>
      <c r="N59" s="865">
        <f>IF(OR(IF($L59&lt;&gt;"",$L59,$K59)="",IF($L59&lt;&gt;"",$L59,$K59)="PARALLEL SETS"),"",IFERROR(INDEX(SZ_AMP,MATCH(IF($L59&lt;&gt;"",$L59,$K59),SZ_SIZE,0))*IF(N($M59)&gt;0,N($M59),MAX(1,N(IFERROR(INDEX(SPEC_CIRC,MATCH(INDEX(Equipment!$C$7:$C$18,MAX(1,N($W59))),SPEC_SKU,0)),1)))),""))</f>
        <v/>
      </c>
      <c r="O59" s="866">
        <f>IF(OR(N($N59)=0,N($F59)=0),"",IFERROR(IF($V59="L2",2,SQRT(3))*N($H59)/IF(N($M59)&gt;0,N($M59),MAX(1,N(IFERROR(INDEX(SPEC_CIRC,MATCH(INDEX(Equipment!$C$7:$C$18,MAX(1,N($W59))),SPEC_SKU,0)),1))))*N($F59)*INDEX(SZ_Z,MATCH(IF($L59&lt;&gt;"",$L59,$K59),SZ_SIZE,0))/1000/IF($V59="L2",N(Equipment!$B$30),Project!$B$29),""))</f>
        <v/>
      </c>
      <c r="P59" s="863">
        <f>IF(N($J59)=0,"",IFERROR(INDEX(IF($B$6="Cu",EGC_CU,EGC_AL),MATCH($J59,EGC_OCPD,1)+IF(ISNUMBER(MATCH($J59,EGC_OCPD,0)),0,1)),""))</f>
        <v/>
      </c>
      <c r="Q59" s="863">
        <f>IF(N($N59)=0,"",IFERROR(INDEX(IF($V59="L2",CND_2G,CND_3G),MATCH(IF($L59&lt;&gt;"",$L59,$K59),CND_SIZE,0)),""))</f>
        <v/>
      </c>
      <c r="R59" s="807" t="n"/>
      <c r="S59" s="867">
        <f>IF(OR(N($F59)=0,N($N59)=0),0,IFERROR(N($F59)*IF(N($M59)&gt;0,N($M59),MAX(1,N(IFERROR(INDEX(SPEC_CIRC,MATCH(INDEX(Equipment!$C$7:$C$18,MAX(1,N($W59))),SPEC_SKU,0)),1))))*IF($V59="L2",2,3)*INDEX(IF($B$6="Cu",WIRE_CU,WIRE_AL),MATCH(IF($L59&lt;&gt;"",$L59,$K59),WIRE_SIZE,0)),0)+IFERROR(N($F59)*IF(N($M59)&gt;0,N($M59),MAX(1,N(IFERROR(INDEX(SPEC_CIRC,MATCH(INDEX(Equipment!$C$7:$C$18,MAX(1,N($W59))),SPEC_SKU,0)),1))))*INDEX(IF($B$6="Cu",WIRE_CU,WIRE_AL),MATCH($P59,WIRE_SIZE,0)),0)+IFERROR(N($F59)*IF(N($M59)&gt;0,N($M59),MAX(1,N(IFERROR(INDEX(SPEC_CIRC,MATCH(INDEX(Equipment!$C$7:$C$18,MAX(1,N($W59))),SPEC_SKU,0)),1))))*INDEX(PVC_RATE,MATCH(IF($R59&lt;&gt;"",$R59,$Q59),PVC_SIZE,0)),0)+IF($V59="L2",0,IFERROR(N($F59)*INDEX(PVC_RATE,MATCH("(3/4"")",PVC_SIZE,0)),0)))</f>
        <v/>
      </c>
      <c r="T59" s="863">
        <f>IF($W59="","",IF($U59=0,"shared — on circuit "&amp;$E59&amp;", sized and priced on its first unit",IF(N($F59)=0,"ENTER THE DISTANCE",IF($B$10="","SET THE DESIGN AMBIENT in block A — nothing on this row can be trusted until it is",IF(IF($L59&lt;&gt;"",$L59,$K59)="PARALLEL SETS","PARALLEL SETS NEEDED — no single conductor carries "&amp;TEXT(N($I59),"#,##0")&amp;" A within the drop allowance; enter sets in column M",IF(N($N59)=0,"no ampacity on file for the override size — NEC Table 310.16 does not list it",IF(N($N59)&lt;IF(N($J59)&gt;800,N($J59),N($I59)),"UNDERSIZED — "&amp;TEXT(N($N59),"#,##0")&amp;" A provided against a floor of "&amp;TEXT(IF(N($J59)&gt;800,N($J59),N($I59)),"#,##0")&amp;" A",IF(N($O59)&gt;$B$13,"ampacity OK but voltage drop "&amp;TEXT(N($O59),"0.0%")&amp;" exceeds the allowance — ADVISORY, upsize the override","OK — "&amp;IF(IF(N($M59)&gt;0,N($M59),MAX(1,N(IFERROR(INDEX(SPEC_CIRC,MATCH(INDEX(Equipment!$C$7:$C$18,MAX(1,N($W59))),SPEC_SKU,0)),1))))&gt;1,TEXT(IF(N($M59)&gt;0,N($M59),MAX(1,N(IFERROR(INDEX(SPEC_CIRC,MATCH(INDEX(Equipment!$C$7:$C$18,MAX(1,N($W59))),SPEC_SKU,0)),1)))),"0")&amp;" sets of ","")&amp;IF($L59&lt;&gt;"",$L59,$K59)&amp;IF($L59&lt;&gt;""," (override)","")&amp;", "&amp;TEXT(N($N59),"#,##0")&amp;" A against a "&amp;TEXT(IF(N($J59)&gt;800,N($J59),N($I59)),"#,##0")&amp;" A floor; drop "&amp;TEXT(N($O59),"0.0%")&amp;" (ADVISORY)"))))))))</f>
        <v/>
      </c>
      <c r="U59" s="868">
        <f>IF($W59="",0,IF($E59="",1,IF(MATCH($E59,$E$18:$E$77,0)=42,1,0)))</f>
        <v/>
      </c>
      <c r="V59" s="869">
        <f>IF($W59="","",IF(INDEX(Equipment!$E$7:$E$18,$W59)="level_2","L2",IF(INDEX(Equipment!$E$7:$E$18,$W59)="power_cabinet","CAB","DC")))</f>
        <v/>
      </c>
      <c r="W59" s="868">
        <f>IF(N($B$80)&gt;=42,COUNTIF(Equipment!$S$7:$S$18,"&lt;42")+1,"")</f>
        <v/>
      </c>
      <c r="X59" s="868">
        <f>IF($U59&lt;&gt;1,"",IF(N($M59)&gt;0,N($M59),MAX(1,N(IFERROR(INDEX(SPEC_CIRC,MATCH(INDEX(Equipment!$C$7:$C$18,MAX(1,N($W59))),SPEC_SKU,0)),1)))))</f>
        <v/>
      </c>
    </row>
    <row r="60" ht="16" customHeight="1" s="254">
      <c r="A60" s="862">
        <f>IF($W60="","","Charger 43")</f>
        <v/>
      </c>
      <c r="B60" s="863">
        <f>IF($W60="","","Line "&amp;$W60&amp;" · "&amp;INDEX(Equipment!$C$7:$C$18,$W60)&amp;" · "&amp;INDEX(Equipment!$B$7:$B$18,$W60)&amp;" · #"&amp;(43-INDEX(Equipment!$R$7:$R$18,$W60)+1)&amp;" of "&amp;INDEX(Equipment!$I$7:$I$18,$W60))</f>
        <v/>
      </c>
      <c r="C60" s="863">
        <f>IF($W60="","",IF($V60="L2",TEXT(N(Equipment!$B$30),"0")&amp;" V 1-ph",TEXT(Project!$B$29,"0")&amp;" V 3-ph"))</f>
        <v/>
      </c>
      <c r="D60" s="864">
        <f>IF($W60="","",INDEX(Equipment!$G$7:$G$18,$W60))</f>
        <v/>
      </c>
      <c r="E60" s="807" t="n"/>
      <c r="F60" s="831" t="n"/>
      <c r="G60" s="807" t="n"/>
      <c r="H60" s="865">
        <f>IF($U60&lt;&gt;1,"",IF($E60="",N($D60),SUMIF($E$18:$E$77,$E60,$D$18:$D$77))*1000/(IF($V60="L2",N(Equipment!$B$30),Project!$B$29)*IF($V60="L2",1,SQRT(3))))</f>
        <v/>
      </c>
      <c r="I60" s="865">
        <f>IF(N($H60)=0,"",N($H60)*1.25)</f>
        <v/>
      </c>
      <c r="J60" s="865">
        <f>IF(N($I60)=0,"",IF(ISNUMBER(MATCH($I60,OCPD_LIST,0)),$I60,IF($I60&gt;MAX(OCPD_LIST),"ABOVE LIST",INDEX(OCPD_LIST,MATCH($I60,OCPD_LIST,1)+1))))</f>
        <v/>
      </c>
      <c r="K60" s="863">
        <f>IF(OR(N($I60)=0,$B$10=""),"",IF(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gt;ROWS(SZ_SIZE),"PARALLEL SETS",INDEX(SZ_SIZE,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f>
        <v/>
      </c>
      <c r="L60" s="807" t="n"/>
      <c r="M60" s="831" t="n"/>
      <c r="N60" s="865">
        <f>IF(OR(IF($L60&lt;&gt;"",$L60,$K60)="",IF($L60&lt;&gt;"",$L60,$K60)="PARALLEL SETS"),"",IFERROR(INDEX(SZ_AMP,MATCH(IF($L60&lt;&gt;"",$L60,$K60),SZ_SIZE,0))*IF(N($M60)&gt;0,N($M60),MAX(1,N(IFERROR(INDEX(SPEC_CIRC,MATCH(INDEX(Equipment!$C$7:$C$18,MAX(1,N($W60))),SPEC_SKU,0)),1)))),""))</f>
        <v/>
      </c>
      <c r="O60" s="866">
        <f>IF(OR(N($N60)=0,N($F60)=0),"",IFERROR(IF($V60="L2",2,SQRT(3))*N($H60)/IF(N($M60)&gt;0,N($M60),MAX(1,N(IFERROR(INDEX(SPEC_CIRC,MATCH(INDEX(Equipment!$C$7:$C$18,MAX(1,N($W60))),SPEC_SKU,0)),1))))*N($F60)*INDEX(SZ_Z,MATCH(IF($L60&lt;&gt;"",$L60,$K60),SZ_SIZE,0))/1000/IF($V60="L2",N(Equipment!$B$30),Project!$B$29),""))</f>
        <v/>
      </c>
      <c r="P60" s="863">
        <f>IF(N($J60)=0,"",IFERROR(INDEX(IF($B$6="Cu",EGC_CU,EGC_AL),MATCH($J60,EGC_OCPD,1)+IF(ISNUMBER(MATCH($J60,EGC_OCPD,0)),0,1)),""))</f>
        <v/>
      </c>
      <c r="Q60" s="863">
        <f>IF(N($N60)=0,"",IFERROR(INDEX(IF($V60="L2",CND_2G,CND_3G),MATCH(IF($L60&lt;&gt;"",$L60,$K60),CND_SIZE,0)),""))</f>
        <v/>
      </c>
      <c r="R60" s="807" t="n"/>
      <c r="S60" s="867">
        <f>IF(OR(N($F60)=0,N($N60)=0),0,IFERROR(N($F60)*IF(N($M60)&gt;0,N($M60),MAX(1,N(IFERROR(INDEX(SPEC_CIRC,MATCH(INDEX(Equipment!$C$7:$C$18,MAX(1,N($W60))),SPEC_SKU,0)),1))))*IF($V60="L2",2,3)*INDEX(IF($B$6="Cu",WIRE_CU,WIRE_AL),MATCH(IF($L60&lt;&gt;"",$L60,$K60),WIRE_SIZE,0)),0)+IFERROR(N($F60)*IF(N($M60)&gt;0,N($M60),MAX(1,N(IFERROR(INDEX(SPEC_CIRC,MATCH(INDEX(Equipment!$C$7:$C$18,MAX(1,N($W60))),SPEC_SKU,0)),1))))*INDEX(IF($B$6="Cu",WIRE_CU,WIRE_AL),MATCH($P60,WIRE_SIZE,0)),0)+IFERROR(N($F60)*IF(N($M60)&gt;0,N($M60),MAX(1,N(IFERROR(INDEX(SPEC_CIRC,MATCH(INDEX(Equipment!$C$7:$C$18,MAX(1,N($W60))),SPEC_SKU,0)),1))))*INDEX(PVC_RATE,MATCH(IF($R60&lt;&gt;"",$R60,$Q60),PVC_SIZE,0)),0)+IF($V60="L2",0,IFERROR(N($F60)*INDEX(PVC_RATE,MATCH("(3/4"")",PVC_SIZE,0)),0)))</f>
        <v/>
      </c>
      <c r="T60" s="863">
        <f>IF($W60="","",IF($U60=0,"shared — on circuit "&amp;$E60&amp;", sized and priced on its first unit",IF(N($F60)=0,"ENTER THE DISTANCE",IF($B$10="","SET THE DESIGN AMBIENT in block A — nothing on this row can be trusted until it is",IF(IF($L60&lt;&gt;"",$L60,$K60)="PARALLEL SETS","PARALLEL SETS NEEDED — no single conductor carries "&amp;TEXT(N($I60),"#,##0")&amp;" A within the drop allowance; enter sets in column M",IF(N($N60)=0,"no ampacity on file for the override size — NEC Table 310.16 does not list it",IF(N($N60)&lt;IF(N($J60)&gt;800,N($J60),N($I60)),"UNDERSIZED — "&amp;TEXT(N($N60),"#,##0")&amp;" A provided against a floor of "&amp;TEXT(IF(N($J60)&gt;800,N($J60),N($I60)),"#,##0")&amp;" A",IF(N($O60)&gt;$B$13,"ampacity OK but voltage drop "&amp;TEXT(N($O60),"0.0%")&amp;" exceeds the allowance — ADVISORY, upsize the override","OK — "&amp;IF(IF(N($M60)&gt;0,N($M60),MAX(1,N(IFERROR(INDEX(SPEC_CIRC,MATCH(INDEX(Equipment!$C$7:$C$18,MAX(1,N($W60))),SPEC_SKU,0)),1))))&gt;1,TEXT(IF(N($M60)&gt;0,N($M60),MAX(1,N(IFERROR(INDEX(SPEC_CIRC,MATCH(INDEX(Equipment!$C$7:$C$18,MAX(1,N($W60))),SPEC_SKU,0)),1)))),"0")&amp;" sets of ","")&amp;IF($L60&lt;&gt;"",$L60,$K60)&amp;IF($L60&lt;&gt;""," (override)","")&amp;", "&amp;TEXT(N($N60),"#,##0")&amp;" A against a "&amp;TEXT(IF(N($J60)&gt;800,N($J60),N($I60)),"#,##0")&amp;" A floor; drop "&amp;TEXT(N($O60),"0.0%")&amp;" (ADVISORY)"))))))))</f>
        <v/>
      </c>
      <c r="U60" s="868">
        <f>IF($W60="",0,IF($E60="",1,IF(MATCH($E60,$E$18:$E$77,0)=43,1,0)))</f>
        <v/>
      </c>
      <c r="V60" s="869">
        <f>IF($W60="","",IF(INDEX(Equipment!$E$7:$E$18,$W60)="level_2","L2",IF(INDEX(Equipment!$E$7:$E$18,$W60)="power_cabinet","CAB","DC")))</f>
        <v/>
      </c>
      <c r="W60" s="868">
        <f>IF(N($B$80)&gt;=43,COUNTIF(Equipment!$S$7:$S$18,"&lt;43")+1,"")</f>
        <v/>
      </c>
      <c r="X60" s="868">
        <f>IF($U60&lt;&gt;1,"",IF(N($M60)&gt;0,N($M60),MAX(1,N(IFERROR(INDEX(SPEC_CIRC,MATCH(INDEX(Equipment!$C$7:$C$18,MAX(1,N($W60))),SPEC_SKU,0)),1)))))</f>
        <v/>
      </c>
    </row>
    <row r="61" ht="16" customHeight="1" s="254">
      <c r="A61" s="862">
        <f>IF($W61="","","Charger 44")</f>
        <v/>
      </c>
      <c r="B61" s="863">
        <f>IF($W61="","","Line "&amp;$W61&amp;" · "&amp;INDEX(Equipment!$C$7:$C$18,$W61)&amp;" · "&amp;INDEX(Equipment!$B$7:$B$18,$W61)&amp;" · #"&amp;(44-INDEX(Equipment!$R$7:$R$18,$W61)+1)&amp;" of "&amp;INDEX(Equipment!$I$7:$I$18,$W61))</f>
        <v/>
      </c>
      <c r="C61" s="863">
        <f>IF($W61="","",IF($V61="L2",TEXT(N(Equipment!$B$30),"0")&amp;" V 1-ph",TEXT(Project!$B$29,"0")&amp;" V 3-ph"))</f>
        <v/>
      </c>
      <c r="D61" s="864">
        <f>IF($W61="","",INDEX(Equipment!$G$7:$G$18,$W61))</f>
        <v/>
      </c>
      <c r="E61" s="807" t="n"/>
      <c r="F61" s="831" t="n"/>
      <c r="G61" s="807" t="n"/>
      <c r="H61" s="865">
        <f>IF($U61&lt;&gt;1,"",IF($E61="",N($D61),SUMIF($E$18:$E$77,$E61,$D$18:$D$77))*1000/(IF($V61="L2",N(Equipment!$B$30),Project!$B$29)*IF($V61="L2",1,SQRT(3))))</f>
        <v/>
      </c>
      <c r="I61" s="865">
        <f>IF(N($H61)=0,"",N($H61)*1.25)</f>
        <v/>
      </c>
      <c r="J61" s="865">
        <f>IF(N($I61)=0,"",IF(ISNUMBER(MATCH($I61,OCPD_LIST,0)),$I61,IF($I61&gt;MAX(OCPD_LIST),"ABOVE LIST",INDEX(OCPD_LIST,MATCH($I61,OCPD_LIST,1)+1))))</f>
        <v/>
      </c>
      <c r="K61" s="863">
        <f>IF(OR(N($I61)=0,$B$10=""),"",IF(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gt;ROWS(SZ_SIZE),"PARALLEL SETS",INDEX(SZ_SIZE,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f>
        <v/>
      </c>
      <c r="L61" s="807" t="n"/>
      <c r="M61" s="831" t="n"/>
      <c r="N61" s="865">
        <f>IF(OR(IF($L61&lt;&gt;"",$L61,$K61)="",IF($L61&lt;&gt;"",$L61,$K61)="PARALLEL SETS"),"",IFERROR(INDEX(SZ_AMP,MATCH(IF($L61&lt;&gt;"",$L61,$K61),SZ_SIZE,0))*IF(N($M61)&gt;0,N($M61),MAX(1,N(IFERROR(INDEX(SPEC_CIRC,MATCH(INDEX(Equipment!$C$7:$C$18,MAX(1,N($W61))),SPEC_SKU,0)),1)))),""))</f>
        <v/>
      </c>
      <c r="O61" s="866">
        <f>IF(OR(N($N61)=0,N($F61)=0),"",IFERROR(IF($V61="L2",2,SQRT(3))*N($H61)/IF(N($M61)&gt;0,N($M61),MAX(1,N(IFERROR(INDEX(SPEC_CIRC,MATCH(INDEX(Equipment!$C$7:$C$18,MAX(1,N($W61))),SPEC_SKU,0)),1))))*N($F61)*INDEX(SZ_Z,MATCH(IF($L61&lt;&gt;"",$L61,$K61),SZ_SIZE,0))/1000/IF($V61="L2",N(Equipment!$B$30),Project!$B$29),""))</f>
        <v/>
      </c>
      <c r="P61" s="863">
        <f>IF(N($J61)=0,"",IFERROR(INDEX(IF($B$6="Cu",EGC_CU,EGC_AL),MATCH($J61,EGC_OCPD,1)+IF(ISNUMBER(MATCH($J61,EGC_OCPD,0)),0,1)),""))</f>
        <v/>
      </c>
      <c r="Q61" s="863">
        <f>IF(N($N61)=0,"",IFERROR(INDEX(IF($V61="L2",CND_2G,CND_3G),MATCH(IF($L61&lt;&gt;"",$L61,$K61),CND_SIZE,0)),""))</f>
        <v/>
      </c>
      <c r="R61" s="807" t="n"/>
      <c r="S61" s="867">
        <f>IF(OR(N($F61)=0,N($N61)=0),0,IFERROR(N($F61)*IF(N($M61)&gt;0,N($M61),MAX(1,N(IFERROR(INDEX(SPEC_CIRC,MATCH(INDEX(Equipment!$C$7:$C$18,MAX(1,N($W61))),SPEC_SKU,0)),1))))*IF($V61="L2",2,3)*INDEX(IF($B$6="Cu",WIRE_CU,WIRE_AL),MATCH(IF($L61&lt;&gt;"",$L61,$K61),WIRE_SIZE,0)),0)+IFERROR(N($F61)*IF(N($M61)&gt;0,N($M61),MAX(1,N(IFERROR(INDEX(SPEC_CIRC,MATCH(INDEX(Equipment!$C$7:$C$18,MAX(1,N($W61))),SPEC_SKU,0)),1))))*INDEX(IF($B$6="Cu",WIRE_CU,WIRE_AL),MATCH($P61,WIRE_SIZE,0)),0)+IFERROR(N($F61)*IF(N($M61)&gt;0,N($M61),MAX(1,N(IFERROR(INDEX(SPEC_CIRC,MATCH(INDEX(Equipment!$C$7:$C$18,MAX(1,N($W61))),SPEC_SKU,0)),1))))*INDEX(PVC_RATE,MATCH(IF($R61&lt;&gt;"",$R61,$Q61),PVC_SIZE,0)),0)+IF($V61="L2",0,IFERROR(N($F61)*INDEX(PVC_RATE,MATCH("(3/4"")",PVC_SIZE,0)),0)))</f>
        <v/>
      </c>
      <c r="T61" s="863">
        <f>IF($W61="","",IF($U61=0,"shared — on circuit "&amp;$E61&amp;", sized and priced on its first unit",IF(N($F61)=0,"ENTER THE DISTANCE",IF($B$10="","SET THE DESIGN AMBIENT in block A — nothing on this row can be trusted until it is",IF(IF($L61&lt;&gt;"",$L61,$K61)="PARALLEL SETS","PARALLEL SETS NEEDED — no single conductor carries "&amp;TEXT(N($I61),"#,##0")&amp;" A within the drop allowance; enter sets in column M",IF(N($N61)=0,"no ampacity on file for the override size — NEC Table 310.16 does not list it",IF(N($N61)&lt;IF(N($J61)&gt;800,N($J61),N($I61)),"UNDERSIZED — "&amp;TEXT(N($N61),"#,##0")&amp;" A provided against a floor of "&amp;TEXT(IF(N($J61)&gt;800,N($J61),N($I61)),"#,##0")&amp;" A",IF(N($O61)&gt;$B$13,"ampacity OK but voltage drop "&amp;TEXT(N($O61),"0.0%")&amp;" exceeds the allowance — ADVISORY, upsize the override","OK — "&amp;IF(IF(N($M61)&gt;0,N($M61),MAX(1,N(IFERROR(INDEX(SPEC_CIRC,MATCH(INDEX(Equipment!$C$7:$C$18,MAX(1,N($W61))),SPEC_SKU,0)),1))))&gt;1,TEXT(IF(N($M61)&gt;0,N($M61),MAX(1,N(IFERROR(INDEX(SPEC_CIRC,MATCH(INDEX(Equipment!$C$7:$C$18,MAX(1,N($W61))),SPEC_SKU,0)),1)))),"0")&amp;" sets of ","")&amp;IF($L61&lt;&gt;"",$L61,$K61)&amp;IF($L61&lt;&gt;""," (override)","")&amp;", "&amp;TEXT(N($N61),"#,##0")&amp;" A against a "&amp;TEXT(IF(N($J61)&gt;800,N($J61),N($I61)),"#,##0")&amp;" A floor; drop "&amp;TEXT(N($O61),"0.0%")&amp;" (ADVISORY)"))))))))</f>
        <v/>
      </c>
      <c r="U61" s="868">
        <f>IF($W61="",0,IF($E61="",1,IF(MATCH($E61,$E$18:$E$77,0)=44,1,0)))</f>
        <v/>
      </c>
      <c r="V61" s="869">
        <f>IF($W61="","",IF(INDEX(Equipment!$E$7:$E$18,$W61)="level_2","L2",IF(INDEX(Equipment!$E$7:$E$18,$W61)="power_cabinet","CAB","DC")))</f>
        <v/>
      </c>
      <c r="W61" s="868">
        <f>IF(N($B$80)&gt;=44,COUNTIF(Equipment!$S$7:$S$18,"&lt;44")+1,"")</f>
        <v/>
      </c>
      <c r="X61" s="868">
        <f>IF($U61&lt;&gt;1,"",IF(N($M61)&gt;0,N($M61),MAX(1,N(IFERROR(INDEX(SPEC_CIRC,MATCH(INDEX(Equipment!$C$7:$C$18,MAX(1,N($W61))),SPEC_SKU,0)),1)))))</f>
        <v/>
      </c>
    </row>
    <row r="62" ht="16" customHeight="1" s="254">
      <c r="A62" s="862">
        <f>IF($W62="","","Charger 45")</f>
        <v/>
      </c>
      <c r="B62" s="863">
        <f>IF($W62="","","Line "&amp;$W62&amp;" · "&amp;INDEX(Equipment!$C$7:$C$18,$W62)&amp;" · "&amp;INDEX(Equipment!$B$7:$B$18,$W62)&amp;" · #"&amp;(45-INDEX(Equipment!$R$7:$R$18,$W62)+1)&amp;" of "&amp;INDEX(Equipment!$I$7:$I$18,$W62))</f>
        <v/>
      </c>
      <c r="C62" s="863">
        <f>IF($W62="","",IF($V62="L2",TEXT(N(Equipment!$B$30),"0")&amp;" V 1-ph",TEXT(Project!$B$29,"0")&amp;" V 3-ph"))</f>
        <v/>
      </c>
      <c r="D62" s="864">
        <f>IF($W62="","",INDEX(Equipment!$G$7:$G$18,$W62))</f>
        <v/>
      </c>
      <c r="E62" s="807" t="n"/>
      <c r="F62" s="831" t="n"/>
      <c r="G62" s="807" t="n"/>
      <c r="H62" s="865">
        <f>IF($U62&lt;&gt;1,"",IF($E62="",N($D62),SUMIF($E$18:$E$77,$E62,$D$18:$D$77))*1000/(IF($V62="L2",N(Equipment!$B$30),Project!$B$29)*IF($V62="L2",1,SQRT(3))))</f>
        <v/>
      </c>
      <c r="I62" s="865">
        <f>IF(N($H62)=0,"",N($H62)*1.25)</f>
        <v/>
      </c>
      <c r="J62" s="865">
        <f>IF(N($I62)=0,"",IF(ISNUMBER(MATCH($I62,OCPD_LIST,0)),$I62,IF($I62&gt;MAX(OCPD_LIST),"ABOVE LIST",INDEX(OCPD_LIST,MATCH($I62,OCPD_LIST,1)+1))))</f>
        <v/>
      </c>
      <c r="K62" s="863">
        <f>IF(OR(N($I62)=0,$B$10=""),"",IF(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gt;ROWS(SZ_SIZE),"PARALLEL SETS",INDEX(SZ_SIZE,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f>
        <v/>
      </c>
      <c r="L62" s="807" t="n"/>
      <c r="M62" s="831" t="n"/>
      <c r="N62" s="865">
        <f>IF(OR(IF($L62&lt;&gt;"",$L62,$K62)="",IF($L62&lt;&gt;"",$L62,$K62)="PARALLEL SETS"),"",IFERROR(INDEX(SZ_AMP,MATCH(IF($L62&lt;&gt;"",$L62,$K62),SZ_SIZE,0))*IF(N($M62)&gt;0,N($M62),MAX(1,N(IFERROR(INDEX(SPEC_CIRC,MATCH(INDEX(Equipment!$C$7:$C$18,MAX(1,N($W62))),SPEC_SKU,0)),1)))),""))</f>
        <v/>
      </c>
      <c r="O62" s="866">
        <f>IF(OR(N($N62)=0,N($F62)=0),"",IFERROR(IF($V62="L2",2,SQRT(3))*N($H62)/IF(N($M62)&gt;0,N($M62),MAX(1,N(IFERROR(INDEX(SPEC_CIRC,MATCH(INDEX(Equipment!$C$7:$C$18,MAX(1,N($W62))),SPEC_SKU,0)),1))))*N($F62)*INDEX(SZ_Z,MATCH(IF($L62&lt;&gt;"",$L62,$K62),SZ_SIZE,0))/1000/IF($V62="L2",N(Equipment!$B$30),Project!$B$29),""))</f>
        <v/>
      </c>
      <c r="P62" s="863">
        <f>IF(N($J62)=0,"",IFERROR(INDEX(IF($B$6="Cu",EGC_CU,EGC_AL),MATCH($J62,EGC_OCPD,1)+IF(ISNUMBER(MATCH($J62,EGC_OCPD,0)),0,1)),""))</f>
        <v/>
      </c>
      <c r="Q62" s="863">
        <f>IF(N($N62)=0,"",IFERROR(INDEX(IF($V62="L2",CND_2G,CND_3G),MATCH(IF($L62&lt;&gt;"",$L62,$K62),CND_SIZE,0)),""))</f>
        <v/>
      </c>
      <c r="R62" s="807" t="n"/>
      <c r="S62" s="867">
        <f>IF(OR(N($F62)=0,N($N62)=0),0,IFERROR(N($F62)*IF(N($M62)&gt;0,N($M62),MAX(1,N(IFERROR(INDEX(SPEC_CIRC,MATCH(INDEX(Equipment!$C$7:$C$18,MAX(1,N($W62))),SPEC_SKU,0)),1))))*IF($V62="L2",2,3)*INDEX(IF($B$6="Cu",WIRE_CU,WIRE_AL),MATCH(IF($L62&lt;&gt;"",$L62,$K62),WIRE_SIZE,0)),0)+IFERROR(N($F62)*IF(N($M62)&gt;0,N($M62),MAX(1,N(IFERROR(INDEX(SPEC_CIRC,MATCH(INDEX(Equipment!$C$7:$C$18,MAX(1,N($W62))),SPEC_SKU,0)),1))))*INDEX(IF($B$6="Cu",WIRE_CU,WIRE_AL),MATCH($P62,WIRE_SIZE,0)),0)+IFERROR(N($F62)*IF(N($M62)&gt;0,N($M62),MAX(1,N(IFERROR(INDEX(SPEC_CIRC,MATCH(INDEX(Equipment!$C$7:$C$18,MAX(1,N($W62))),SPEC_SKU,0)),1))))*INDEX(PVC_RATE,MATCH(IF($R62&lt;&gt;"",$R62,$Q62),PVC_SIZE,0)),0)+IF($V62="L2",0,IFERROR(N($F62)*INDEX(PVC_RATE,MATCH("(3/4"")",PVC_SIZE,0)),0)))</f>
        <v/>
      </c>
      <c r="T62" s="863">
        <f>IF($W62="","",IF($U62=0,"shared — on circuit "&amp;$E62&amp;", sized and priced on its first unit",IF(N($F62)=0,"ENTER THE DISTANCE",IF($B$10="","SET THE DESIGN AMBIENT in block A — nothing on this row can be trusted until it is",IF(IF($L62&lt;&gt;"",$L62,$K62)="PARALLEL SETS","PARALLEL SETS NEEDED — no single conductor carries "&amp;TEXT(N($I62),"#,##0")&amp;" A within the drop allowance; enter sets in column M",IF(N($N62)=0,"no ampacity on file for the override size — NEC Table 310.16 does not list it",IF(N($N62)&lt;IF(N($J62)&gt;800,N($J62),N($I62)),"UNDERSIZED — "&amp;TEXT(N($N62),"#,##0")&amp;" A provided against a floor of "&amp;TEXT(IF(N($J62)&gt;800,N($J62),N($I62)),"#,##0")&amp;" A",IF(N($O62)&gt;$B$13,"ampacity OK but voltage drop "&amp;TEXT(N($O62),"0.0%")&amp;" exceeds the allowance — ADVISORY, upsize the override","OK — "&amp;IF(IF(N($M62)&gt;0,N($M62),MAX(1,N(IFERROR(INDEX(SPEC_CIRC,MATCH(INDEX(Equipment!$C$7:$C$18,MAX(1,N($W62))),SPEC_SKU,0)),1))))&gt;1,TEXT(IF(N($M62)&gt;0,N($M62),MAX(1,N(IFERROR(INDEX(SPEC_CIRC,MATCH(INDEX(Equipment!$C$7:$C$18,MAX(1,N($W62))),SPEC_SKU,0)),1)))),"0")&amp;" sets of ","")&amp;IF($L62&lt;&gt;"",$L62,$K62)&amp;IF($L62&lt;&gt;""," (override)","")&amp;", "&amp;TEXT(N($N62),"#,##0")&amp;" A against a "&amp;TEXT(IF(N($J62)&gt;800,N($J62),N($I62)),"#,##0")&amp;" A floor; drop "&amp;TEXT(N($O62),"0.0%")&amp;" (ADVISORY)"))))))))</f>
        <v/>
      </c>
      <c r="U62" s="868">
        <f>IF($W62="",0,IF($E62="",1,IF(MATCH($E62,$E$18:$E$77,0)=45,1,0)))</f>
        <v/>
      </c>
      <c r="V62" s="869">
        <f>IF($W62="","",IF(INDEX(Equipment!$E$7:$E$18,$W62)="level_2","L2",IF(INDEX(Equipment!$E$7:$E$18,$W62)="power_cabinet","CAB","DC")))</f>
        <v/>
      </c>
      <c r="W62" s="868">
        <f>IF(N($B$80)&gt;=45,COUNTIF(Equipment!$S$7:$S$18,"&lt;45")+1,"")</f>
        <v/>
      </c>
      <c r="X62" s="868">
        <f>IF($U62&lt;&gt;1,"",IF(N($M62)&gt;0,N($M62),MAX(1,N(IFERROR(INDEX(SPEC_CIRC,MATCH(INDEX(Equipment!$C$7:$C$18,MAX(1,N($W62))),SPEC_SKU,0)),1)))))</f>
        <v/>
      </c>
    </row>
    <row r="63" ht="16" customHeight="1" s="254">
      <c r="A63" s="862">
        <f>IF($W63="","","Charger 46")</f>
        <v/>
      </c>
      <c r="B63" s="863">
        <f>IF($W63="","","Line "&amp;$W63&amp;" · "&amp;INDEX(Equipment!$C$7:$C$18,$W63)&amp;" · "&amp;INDEX(Equipment!$B$7:$B$18,$W63)&amp;" · #"&amp;(46-INDEX(Equipment!$R$7:$R$18,$W63)+1)&amp;" of "&amp;INDEX(Equipment!$I$7:$I$18,$W63))</f>
        <v/>
      </c>
      <c r="C63" s="863">
        <f>IF($W63="","",IF($V63="L2",TEXT(N(Equipment!$B$30),"0")&amp;" V 1-ph",TEXT(Project!$B$29,"0")&amp;" V 3-ph"))</f>
        <v/>
      </c>
      <c r="D63" s="864">
        <f>IF($W63="","",INDEX(Equipment!$G$7:$G$18,$W63))</f>
        <v/>
      </c>
      <c r="E63" s="807" t="n"/>
      <c r="F63" s="831" t="n"/>
      <c r="G63" s="807" t="n"/>
      <c r="H63" s="865">
        <f>IF($U63&lt;&gt;1,"",IF($E63="",N($D63),SUMIF($E$18:$E$77,$E63,$D$18:$D$77))*1000/(IF($V63="L2",N(Equipment!$B$30),Project!$B$29)*IF($V63="L2",1,SQRT(3))))</f>
        <v/>
      </c>
      <c r="I63" s="865">
        <f>IF(N($H63)=0,"",N($H63)*1.25)</f>
        <v/>
      </c>
      <c r="J63" s="865">
        <f>IF(N($I63)=0,"",IF(ISNUMBER(MATCH($I63,OCPD_LIST,0)),$I63,IF($I63&gt;MAX(OCPD_LIST),"ABOVE LIST",INDEX(OCPD_LIST,MATCH($I63,OCPD_LIST,1)+1))))</f>
        <v/>
      </c>
      <c r="K63" s="863">
        <f>IF(OR(N($I63)=0,$B$10=""),"",IF(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gt;ROWS(SZ_SIZE),"PARALLEL SETS",INDEX(SZ_SIZE,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f>
        <v/>
      </c>
      <c r="L63" s="807" t="n"/>
      <c r="M63" s="831" t="n"/>
      <c r="N63" s="865">
        <f>IF(OR(IF($L63&lt;&gt;"",$L63,$K63)="",IF($L63&lt;&gt;"",$L63,$K63)="PARALLEL SETS"),"",IFERROR(INDEX(SZ_AMP,MATCH(IF($L63&lt;&gt;"",$L63,$K63),SZ_SIZE,0))*IF(N($M63)&gt;0,N($M63),MAX(1,N(IFERROR(INDEX(SPEC_CIRC,MATCH(INDEX(Equipment!$C$7:$C$18,MAX(1,N($W63))),SPEC_SKU,0)),1)))),""))</f>
        <v/>
      </c>
      <c r="O63" s="866">
        <f>IF(OR(N($N63)=0,N($F63)=0),"",IFERROR(IF($V63="L2",2,SQRT(3))*N($H63)/IF(N($M63)&gt;0,N($M63),MAX(1,N(IFERROR(INDEX(SPEC_CIRC,MATCH(INDEX(Equipment!$C$7:$C$18,MAX(1,N($W63))),SPEC_SKU,0)),1))))*N($F63)*INDEX(SZ_Z,MATCH(IF($L63&lt;&gt;"",$L63,$K63),SZ_SIZE,0))/1000/IF($V63="L2",N(Equipment!$B$30),Project!$B$29),""))</f>
        <v/>
      </c>
      <c r="P63" s="863">
        <f>IF(N($J63)=0,"",IFERROR(INDEX(IF($B$6="Cu",EGC_CU,EGC_AL),MATCH($J63,EGC_OCPD,1)+IF(ISNUMBER(MATCH($J63,EGC_OCPD,0)),0,1)),""))</f>
        <v/>
      </c>
      <c r="Q63" s="863">
        <f>IF(N($N63)=0,"",IFERROR(INDEX(IF($V63="L2",CND_2G,CND_3G),MATCH(IF($L63&lt;&gt;"",$L63,$K63),CND_SIZE,0)),""))</f>
        <v/>
      </c>
      <c r="R63" s="807" t="n"/>
      <c r="S63" s="867">
        <f>IF(OR(N($F63)=0,N($N63)=0),0,IFERROR(N($F63)*IF(N($M63)&gt;0,N($M63),MAX(1,N(IFERROR(INDEX(SPEC_CIRC,MATCH(INDEX(Equipment!$C$7:$C$18,MAX(1,N($W63))),SPEC_SKU,0)),1))))*IF($V63="L2",2,3)*INDEX(IF($B$6="Cu",WIRE_CU,WIRE_AL),MATCH(IF($L63&lt;&gt;"",$L63,$K63),WIRE_SIZE,0)),0)+IFERROR(N($F63)*IF(N($M63)&gt;0,N($M63),MAX(1,N(IFERROR(INDEX(SPEC_CIRC,MATCH(INDEX(Equipment!$C$7:$C$18,MAX(1,N($W63))),SPEC_SKU,0)),1))))*INDEX(IF($B$6="Cu",WIRE_CU,WIRE_AL),MATCH($P63,WIRE_SIZE,0)),0)+IFERROR(N($F63)*IF(N($M63)&gt;0,N($M63),MAX(1,N(IFERROR(INDEX(SPEC_CIRC,MATCH(INDEX(Equipment!$C$7:$C$18,MAX(1,N($W63))),SPEC_SKU,0)),1))))*INDEX(PVC_RATE,MATCH(IF($R63&lt;&gt;"",$R63,$Q63),PVC_SIZE,0)),0)+IF($V63="L2",0,IFERROR(N($F63)*INDEX(PVC_RATE,MATCH("(3/4"")",PVC_SIZE,0)),0)))</f>
        <v/>
      </c>
      <c r="T63" s="863">
        <f>IF($W63="","",IF($U63=0,"shared — on circuit "&amp;$E63&amp;", sized and priced on its first unit",IF(N($F63)=0,"ENTER THE DISTANCE",IF($B$10="","SET THE DESIGN AMBIENT in block A — nothing on this row can be trusted until it is",IF(IF($L63&lt;&gt;"",$L63,$K63)="PARALLEL SETS","PARALLEL SETS NEEDED — no single conductor carries "&amp;TEXT(N($I63),"#,##0")&amp;" A within the drop allowance; enter sets in column M",IF(N($N63)=0,"no ampacity on file for the override size — NEC Table 310.16 does not list it",IF(N($N63)&lt;IF(N($J63)&gt;800,N($J63),N($I63)),"UNDERSIZED — "&amp;TEXT(N($N63),"#,##0")&amp;" A provided against a floor of "&amp;TEXT(IF(N($J63)&gt;800,N($J63),N($I63)),"#,##0")&amp;" A",IF(N($O63)&gt;$B$13,"ampacity OK but voltage drop "&amp;TEXT(N($O63),"0.0%")&amp;" exceeds the allowance — ADVISORY, upsize the override","OK — "&amp;IF(IF(N($M63)&gt;0,N($M63),MAX(1,N(IFERROR(INDEX(SPEC_CIRC,MATCH(INDEX(Equipment!$C$7:$C$18,MAX(1,N($W63))),SPEC_SKU,0)),1))))&gt;1,TEXT(IF(N($M63)&gt;0,N($M63),MAX(1,N(IFERROR(INDEX(SPEC_CIRC,MATCH(INDEX(Equipment!$C$7:$C$18,MAX(1,N($W63))),SPEC_SKU,0)),1)))),"0")&amp;" sets of ","")&amp;IF($L63&lt;&gt;"",$L63,$K63)&amp;IF($L63&lt;&gt;""," (override)","")&amp;", "&amp;TEXT(N($N63),"#,##0")&amp;" A against a "&amp;TEXT(IF(N($J63)&gt;800,N($J63),N($I63)),"#,##0")&amp;" A floor; drop "&amp;TEXT(N($O63),"0.0%")&amp;" (ADVISORY)"))))))))</f>
        <v/>
      </c>
      <c r="U63" s="868">
        <f>IF($W63="",0,IF($E63="",1,IF(MATCH($E63,$E$18:$E$77,0)=46,1,0)))</f>
        <v/>
      </c>
      <c r="V63" s="869">
        <f>IF($W63="","",IF(INDEX(Equipment!$E$7:$E$18,$W63)="level_2","L2",IF(INDEX(Equipment!$E$7:$E$18,$W63)="power_cabinet","CAB","DC")))</f>
        <v/>
      </c>
      <c r="W63" s="868">
        <f>IF(N($B$80)&gt;=46,COUNTIF(Equipment!$S$7:$S$18,"&lt;46")+1,"")</f>
        <v/>
      </c>
      <c r="X63" s="868">
        <f>IF($U63&lt;&gt;1,"",IF(N($M63)&gt;0,N($M63),MAX(1,N(IFERROR(INDEX(SPEC_CIRC,MATCH(INDEX(Equipment!$C$7:$C$18,MAX(1,N($W63))),SPEC_SKU,0)),1)))))</f>
        <v/>
      </c>
    </row>
    <row r="64" ht="16" customHeight="1" s="254">
      <c r="A64" s="862">
        <f>IF($W64="","","Charger 47")</f>
        <v/>
      </c>
      <c r="B64" s="863">
        <f>IF($W64="","","Line "&amp;$W64&amp;" · "&amp;INDEX(Equipment!$C$7:$C$18,$W64)&amp;" · "&amp;INDEX(Equipment!$B$7:$B$18,$W64)&amp;" · #"&amp;(47-INDEX(Equipment!$R$7:$R$18,$W64)+1)&amp;" of "&amp;INDEX(Equipment!$I$7:$I$18,$W64))</f>
        <v/>
      </c>
      <c r="C64" s="863">
        <f>IF($W64="","",IF($V64="L2",TEXT(N(Equipment!$B$30),"0")&amp;" V 1-ph",TEXT(Project!$B$29,"0")&amp;" V 3-ph"))</f>
        <v/>
      </c>
      <c r="D64" s="864">
        <f>IF($W64="","",INDEX(Equipment!$G$7:$G$18,$W64))</f>
        <v/>
      </c>
      <c r="E64" s="807" t="n"/>
      <c r="F64" s="831" t="n"/>
      <c r="G64" s="807" t="n"/>
      <c r="H64" s="865">
        <f>IF($U64&lt;&gt;1,"",IF($E64="",N($D64),SUMIF($E$18:$E$77,$E64,$D$18:$D$77))*1000/(IF($V64="L2",N(Equipment!$B$30),Project!$B$29)*IF($V64="L2",1,SQRT(3))))</f>
        <v/>
      </c>
      <c r="I64" s="865">
        <f>IF(N($H64)=0,"",N($H64)*1.25)</f>
        <v/>
      </c>
      <c r="J64" s="865">
        <f>IF(N($I64)=0,"",IF(ISNUMBER(MATCH($I64,OCPD_LIST,0)),$I64,IF($I64&gt;MAX(OCPD_LIST),"ABOVE LIST",INDEX(OCPD_LIST,MATCH($I64,OCPD_LIST,1)+1))))</f>
        <v/>
      </c>
      <c r="K64" s="863">
        <f>IF(OR(N($I64)=0,$B$10=""),"",IF(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gt;ROWS(SZ_SIZE),"PARALLEL SETS",INDEX(SZ_SIZE,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f>
        <v/>
      </c>
      <c r="L64" s="807" t="n"/>
      <c r="M64" s="831" t="n"/>
      <c r="N64" s="865">
        <f>IF(OR(IF($L64&lt;&gt;"",$L64,$K64)="",IF($L64&lt;&gt;"",$L64,$K64)="PARALLEL SETS"),"",IFERROR(INDEX(SZ_AMP,MATCH(IF($L64&lt;&gt;"",$L64,$K64),SZ_SIZE,0))*IF(N($M64)&gt;0,N($M64),MAX(1,N(IFERROR(INDEX(SPEC_CIRC,MATCH(INDEX(Equipment!$C$7:$C$18,MAX(1,N($W64))),SPEC_SKU,0)),1)))),""))</f>
        <v/>
      </c>
      <c r="O64" s="866">
        <f>IF(OR(N($N64)=0,N($F64)=0),"",IFERROR(IF($V64="L2",2,SQRT(3))*N($H64)/IF(N($M64)&gt;0,N($M64),MAX(1,N(IFERROR(INDEX(SPEC_CIRC,MATCH(INDEX(Equipment!$C$7:$C$18,MAX(1,N($W64))),SPEC_SKU,0)),1))))*N($F64)*INDEX(SZ_Z,MATCH(IF($L64&lt;&gt;"",$L64,$K64),SZ_SIZE,0))/1000/IF($V64="L2",N(Equipment!$B$30),Project!$B$29),""))</f>
        <v/>
      </c>
      <c r="P64" s="863">
        <f>IF(N($J64)=0,"",IFERROR(INDEX(IF($B$6="Cu",EGC_CU,EGC_AL),MATCH($J64,EGC_OCPD,1)+IF(ISNUMBER(MATCH($J64,EGC_OCPD,0)),0,1)),""))</f>
        <v/>
      </c>
      <c r="Q64" s="863">
        <f>IF(N($N64)=0,"",IFERROR(INDEX(IF($V64="L2",CND_2G,CND_3G),MATCH(IF($L64&lt;&gt;"",$L64,$K64),CND_SIZE,0)),""))</f>
        <v/>
      </c>
      <c r="R64" s="807" t="n"/>
      <c r="S64" s="867">
        <f>IF(OR(N($F64)=0,N($N64)=0),0,IFERROR(N($F64)*IF(N($M64)&gt;0,N($M64),MAX(1,N(IFERROR(INDEX(SPEC_CIRC,MATCH(INDEX(Equipment!$C$7:$C$18,MAX(1,N($W64))),SPEC_SKU,0)),1))))*IF($V64="L2",2,3)*INDEX(IF($B$6="Cu",WIRE_CU,WIRE_AL),MATCH(IF($L64&lt;&gt;"",$L64,$K64),WIRE_SIZE,0)),0)+IFERROR(N($F64)*IF(N($M64)&gt;0,N($M64),MAX(1,N(IFERROR(INDEX(SPEC_CIRC,MATCH(INDEX(Equipment!$C$7:$C$18,MAX(1,N($W64))),SPEC_SKU,0)),1))))*INDEX(IF($B$6="Cu",WIRE_CU,WIRE_AL),MATCH($P64,WIRE_SIZE,0)),0)+IFERROR(N($F64)*IF(N($M64)&gt;0,N($M64),MAX(1,N(IFERROR(INDEX(SPEC_CIRC,MATCH(INDEX(Equipment!$C$7:$C$18,MAX(1,N($W64))),SPEC_SKU,0)),1))))*INDEX(PVC_RATE,MATCH(IF($R64&lt;&gt;"",$R64,$Q64),PVC_SIZE,0)),0)+IF($V64="L2",0,IFERROR(N($F64)*INDEX(PVC_RATE,MATCH("(3/4"")",PVC_SIZE,0)),0)))</f>
        <v/>
      </c>
      <c r="T64" s="863">
        <f>IF($W64="","",IF($U64=0,"shared — on circuit "&amp;$E64&amp;", sized and priced on its first unit",IF(N($F64)=0,"ENTER THE DISTANCE",IF($B$10="","SET THE DESIGN AMBIENT in block A — nothing on this row can be trusted until it is",IF(IF($L64&lt;&gt;"",$L64,$K64)="PARALLEL SETS","PARALLEL SETS NEEDED — no single conductor carries "&amp;TEXT(N($I64),"#,##0")&amp;" A within the drop allowance; enter sets in column M",IF(N($N64)=0,"no ampacity on file for the override size — NEC Table 310.16 does not list it",IF(N($N64)&lt;IF(N($J64)&gt;800,N($J64),N($I64)),"UNDERSIZED — "&amp;TEXT(N($N64),"#,##0")&amp;" A provided against a floor of "&amp;TEXT(IF(N($J64)&gt;800,N($J64),N($I64)),"#,##0")&amp;" A",IF(N($O64)&gt;$B$13,"ampacity OK but voltage drop "&amp;TEXT(N($O64),"0.0%")&amp;" exceeds the allowance — ADVISORY, upsize the override","OK — "&amp;IF(IF(N($M64)&gt;0,N($M64),MAX(1,N(IFERROR(INDEX(SPEC_CIRC,MATCH(INDEX(Equipment!$C$7:$C$18,MAX(1,N($W64))),SPEC_SKU,0)),1))))&gt;1,TEXT(IF(N($M64)&gt;0,N($M64),MAX(1,N(IFERROR(INDEX(SPEC_CIRC,MATCH(INDEX(Equipment!$C$7:$C$18,MAX(1,N($W64))),SPEC_SKU,0)),1)))),"0")&amp;" sets of ","")&amp;IF($L64&lt;&gt;"",$L64,$K64)&amp;IF($L64&lt;&gt;""," (override)","")&amp;", "&amp;TEXT(N($N64),"#,##0")&amp;" A against a "&amp;TEXT(IF(N($J64)&gt;800,N($J64),N($I64)),"#,##0")&amp;" A floor; drop "&amp;TEXT(N($O64),"0.0%")&amp;" (ADVISORY)"))))))))</f>
        <v/>
      </c>
      <c r="U64" s="868">
        <f>IF($W64="",0,IF($E64="",1,IF(MATCH($E64,$E$18:$E$77,0)=47,1,0)))</f>
        <v/>
      </c>
      <c r="V64" s="869">
        <f>IF($W64="","",IF(INDEX(Equipment!$E$7:$E$18,$W64)="level_2","L2",IF(INDEX(Equipment!$E$7:$E$18,$W64)="power_cabinet","CAB","DC")))</f>
        <v/>
      </c>
      <c r="W64" s="868">
        <f>IF(N($B$80)&gt;=47,COUNTIF(Equipment!$S$7:$S$18,"&lt;47")+1,"")</f>
        <v/>
      </c>
      <c r="X64" s="868">
        <f>IF($U64&lt;&gt;1,"",IF(N($M64)&gt;0,N($M64),MAX(1,N(IFERROR(INDEX(SPEC_CIRC,MATCH(INDEX(Equipment!$C$7:$C$18,MAX(1,N($W64))),SPEC_SKU,0)),1)))))</f>
        <v/>
      </c>
    </row>
    <row r="65" ht="16" customHeight="1" s="254">
      <c r="A65" s="862">
        <f>IF($W65="","","Charger 48")</f>
        <v/>
      </c>
      <c r="B65" s="863">
        <f>IF($W65="","","Line "&amp;$W65&amp;" · "&amp;INDEX(Equipment!$C$7:$C$18,$W65)&amp;" · "&amp;INDEX(Equipment!$B$7:$B$18,$W65)&amp;" · #"&amp;(48-INDEX(Equipment!$R$7:$R$18,$W65)+1)&amp;" of "&amp;INDEX(Equipment!$I$7:$I$18,$W65))</f>
        <v/>
      </c>
      <c r="C65" s="863">
        <f>IF($W65="","",IF($V65="L2",TEXT(N(Equipment!$B$30),"0")&amp;" V 1-ph",TEXT(Project!$B$29,"0")&amp;" V 3-ph"))</f>
        <v/>
      </c>
      <c r="D65" s="864">
        <f>IF($W65="","",INDEX(Equipment!$G$7:$G$18,$W65))</f>
        <v/>
      </c>
      <c r="E65" s="807" t="n"/>
      <c r="F65" s="831" t="n"/>
      <c r="G65" s="807" t="n"/>
      <c r="H65" s="865">
        <f>IF($U65&lt;&gt;1,"",IF($E65="",N($D65),SUMIF($E$18:$E$77,$E65,$D$18:$D$77))*1000/(IF($V65="L2",N(Equipment!$B$30),Project!$B$29)*IF($V65="L2",1,SQRT(3))))</f>
        <v/>
      </c>
      <c r="I65" s="865">
        <f>IF(N($H65)=0,"",N($H65)*1.25)</f>
        <v/>
      </c>
      <c r="J65" s="865">
        <f>IF(N($I65)=0,"",IF(ISNUMBER(MATCH($I65,OCPD_LIST,0)),$I65,IF($I65&gt;MAX(OCPD_LIST),"ABOVE LIST",INDEX(OCPD_LIST,MATCH($I65,OCPD_LIST,1)+1))))</f>
        <v/>
      </c>
      <c r="K65" s="863">
        <f>IF(OR(N($I65)=0,$B$10=""),"",IF(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gt;ROWS(SZ_SIZE),"PARALLEL SETS",INDEX(SZ_SIZE,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f>
        <v/>
      </c>
      <c r="L65" s="807" t="n"/>
      <c r="M65" s="831" t="n"/>
      <c r="N65" s="865">
        <f>IF(OR(IF($L65&lt;&gt;"",$L65,$K65)="",IF($L65&lt;&gt;"",$L65,$K65)="PARALLEL SETS"),"",IFERROR(INDEX(SZ_AMP,MATCH(IF($L65&lt;&gt;"",$L65,$K65),SZ_SIZE,0))*IF(N($M65)&gt;0,N($M65),MAX(1,N(IFERROR(INDEX(SPEC_CIRC,MATCH(INDEX(Equipment!$C$7:$C$18,MAX(1,N($W65))),SPEC_SKU,0)),1)))),""))</f>
        <v/>
      </c>
      <c r="O65" s="866">
        <f>IF(OR(N($N65)=0,N($F65)=0),"",IFERROR(IF($V65="L2",2,SQRT(3))*N($H65)/IF(N($M65)&gt;0,N($M65),MAX(1,N(IFERROR(INDEX(SPEC_CIRC,MATCH(INDEX(Equipment!$C$7:$C$18,MAX(1,N($W65))),SPEC_SKU,0)),1))))*N($F65)*INDEX(SZ_Z,MATCH(IF($L65&lt;&gt;"",$L65,$K65),SZ_SIZE,0))/1000/IF($V65="L2",N(Equipment!$B$30),Project!$B$29),""))</f>
        <v/>
      </c>
      <c r="P65" s="863">
        <f>IF(N($J65)=0,"",IFERROR(INDEX(IF($B$6="Cu",EGC_CU,EGC_AL),MATCH($J65,EGC_OCPD,1)+IF(ISNUMBER(MATCH($J65,EGC_OCPD,0)),0,1)),""))</f>
        <v/>
      </c>
      <c r="Q65" s="863">
        <f>IF(N($N65)=0,"",IFERROR(INDEX(IF($V65="L2",CND_2G,CND_3G),MATCH(IF($L65&lt;&gt;"",$L65,$K65),CND_SIZE,0)),""))</f>
        <v/>
      </c>
      <c r="R65" s="807" t="n"/>
      <c r="S65" s="867">
        <f>IF(OR(N($F65)=0,N($N65)=0),0,IFERROR(N($F65)*IF(N($M65)&gt;0,N($M65),MAX(1,N(IFERROR(INDEX(SPEC_CIRC,MATCH(INDEX(Equipment!$C$7:$C$18,MAX(1,N($W65))),SPEC_SKU,0)),1))))*IF($V65="L2",2,3)*INDEX(IF($B$6="Cu",WIRE_CU,WIRE_AL),MATCH(IF($L65&lt;&gt;"",$L65,$K65),WIRE_SIZE,0)),0)+IFERROR(N($F65)*IF(N($M65)&gt;0,N($M65),MAX(1,N(IFERROR(INDEX(SPEC_CIRC,MATCH(INDEX(Equipment!$C$7:$C$18,MAX(1,N($W65))),SPEC_SKU,0)),1))))*INDEX(IF($B$6="Cu",WIRE_CU,WIRE_AL),MATCH($P65,WIRE_SIZE,0)),0)+IFERROR(N($F65)*IF(N($M65)&gt;0,N($M65),MAX(1,N(IFERROR(INDEX(SPEC_CIRC,MATCH(INDEX(Equipment!$C$7:$C$18,MAX(1,N($W65))),SPEC_SKU,0)),1))))*INDEX(PVC_RATE,MATCH(IF($R65&lt;&gt;"",$R65,$Q65),PVC_SIZE,0)),0)+IF($V65="L2",0,IFERROR(N($F65)*INDEX(PVC_RATE,MATCH("(3/4"")",PVC_SIZE,0)),0)))</f>
        <v/>
      </c>
      <c r="T65" s="863">
        <f>IF($W65="","",IF($U65=0,"shared — on circuit "&amp;$E65&amp;", sized and priced on its first unit",IF(N($F65)=0,"ENTER THE DISTANCE",IF($B$10="","SET THE DESIGN AMBIENT in block A — nothing on this row can be trusted until it is",IF(IF($L65&lt;&gt;"",$L65,$K65)="PARALLEL SETS","PARALLEL SETS NEEDED — no single conductor carries "&amp;TEXT(N($I65),"#,##0")&amp;" A within the drop allowance; enter sets in column M",IF(N($N65)=0,"no ampacity on file for the override size — NEC Table 310.16 does not list it",IF(N($N65)&lt;IF(N($J65)&gt;800,N($J65),N($I65)),"UNDERSIZED — "&amp;TEXT(N($N65),"#,##0")&amp;" A provided against a floor of "&amp;TEXT(IF(N($J65)&gt;800,N($J65),N($I65)),"#,##0")&amp;" A",IF(N($O65)&gt;$B$13,"ampacity OK but voltage drop "&amp;TEXT(N($O65),"0.0%")&amp;" exceeds the allowance — ADVISORY, upsize the override","OK — "&amp;IF(IF(N($M65)&gt;0,N($M65),MAX(1,N(IFERROR(INDEX(SPEC_CIRC,MATCH(INDEX(Equipment!$C$7:$C$18,MAX(1,N($W65))),SPEC_SKU,0)),1))))&gt;1,TEXT(IF(N($M65)&gt;0,N($M65),MAX(1,N(IFERROR(INDEX(SPEC_CIRC,MATCH(INDEX(Equipment!$C$7:$C$18,MAX(1,N($W65))),SPEC_SKU,0)),1)))),"0")&amp;" sets of ","")&amp;IF($L65&lt;&gt;"",$L65,$K65)&amp;IF($L65&lt;&gt;""," (override)","")&amp;", "&amp;TEXT(N($N65),"#,##0")&amp;" A against a "&amp;TEXT(IF(N($J65)&gt;800,N($J65),N($I65)),"#,##0")&amp;" A floor; drop "&amp;TEXT(N($O65),"0.0%")&amp;" (ADVISORY)"))))))))</f>
        <v/>
      </c>
      <c r="U65" s="868">
        <f>IF($W65="",0,IF($E65="",1,IF(MATCH($E65,$E$18:$E$77,0)=48,1,0)))</f>
        <v/>
      </c>
      <c r="V65" s="869">
        <f>IF($W65="","",IF(INDEX(Equipment!$E$7:$E$18,$W65)="level_2","L2",IF(INDEX(Equipment!$E$7:$E$18,$W65)="power_cabinet","CAB","DC")))</f>
        <v/>
      </c>
      <c r="W65" s="868">
        <f>IF(N($B$80)&gt;=48,COUNTIF(Equipment!$S$7:$S$18,"&lt;48")+1,"")</f>
        <v/>
      </c>
      <c r="X65" s="868">
        <f>IF($U65&lt;&gt;1,"",IF(N($M65)&gt;0,N($M65),MAX(1,N(IFERROR(INDEX(SPEC_CIRC,MATCH(INDEX(Equipment!$C$7:$C$18,MAX(1,N($W65))),SPEC_SKU,0)),1)))))</f>
        <v/>
      </c>
    </row>
    <row r="66" ht="16" customHeight="1" s="254">
      <c r="A66" s="862">
        <f>IF($W66="","","Charger 49")</f>
        <v/>
      </c>
      <c r="B66" s="863">
        <f>IF($W66="","","Line "&amp;$W66&amp;" · "&amp;INDEX(Equipment!$C$7:$C$18,$W66)&amp;" · "&amp;INDEX(Equipment!$B$7:$B$18,$W66)&amp;" · #"&amp;(49-INDEX(Equipment!$R$7:$R$18,$W66)+1)&amp;" of "&amp;INDEX(Equipment!$I$7:$I$18,$W66))</f>
        <v/>
      </c>
      <c r="C66" s="863">
        <f>IF($W66="","",IF($V66="L2",TEXT(N(Equipment!$B$30),"0")&amp;" V 1-ph",TEXT(Project!$B$29,"0")&amp;" V 3-ph"))</f>
        <v/>
      </c>
      <c r="D66" s="864">
        <f>IF($W66="","",INDEX(Equipment!$G$7:$G$18,$W66))</f>
        <v/>
      </c>
      <c r="E66" s="807" t="n"/>
      <c r="F66" s="831" t="n"/>
      <c r="G66" s="807" t="n"/>
      <c r="H66" s="865">
        <f>IF($U66&lt;&gt;1,"",IF($E66="",N($D66),SUMIF($E$18:$E$77,$E66,$D$18:$D$77))*1000/(IF($V66="L2",N(Equipment!$B$30),Project!$B$29)*IF($V66="L2",1,SQRT(3))))</f>
        <v/>
      </c>
      <c r="I66" s="865">
        <f>IF(N($H66)=0,"",N($H66)*1.25)</f>
        <v/>
      </c>
      <c r="J66" s="865">
        <f>IF(N($I66)=0,"",IF(ISNUMBER(MATCH($I66,OCPD_LIST,0)),$I66,IF($I66&gt;MAX(OCPD_LIST),"ABOVE LIST",INDEX(OCPD_LIST,MATCH($I66,OCPD_LIST,1)+1))))</f>
        <v/>
      </c>
      <c r="K66" s="863">
        <f>IF(OR(N($I66)=0,$B$10=""),"",IF(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gt;ROWS(SZ_SIZE),"PARALLEL SETS",INDEX(SZ_SIZE,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f>
        <v/>
      </c>
      <c r="L66" s="807" t="n"/>
      <c r="M66" s="831" t="n"/>
      <c r="N66" s="865">
        <f>IF(OR(IF($L66&lt;&gt;"",$L66,$K66)="",IF($L66&lt;&gt;"",$L66,$K66)="PARALLEL SETS"),"",IFERROR(INDEX(SZ_AMP,MATCH(IF($L66&lt;&gt;"",$L66,$K66),SZ_SIZE,0))*IF(N($M66)&gt;0,N($M66),MAX(1,N(IFERROR(INDEX(SPEC_CIRC,MATCH(INDEX(Equipment!$C$7:$C$18,MAX(1,N($W66))),SPEC_SKU,0)),1)))),""))</f>
        <v/>
      </c>
      <c r="O66" s="866">
        <f>IF(OR(N($N66)=0,N($F66)=0),"",IFERROR(IF($V66="L2",2,SQRT(3))*N($H66)/IF(N($M66)&gt;0,N($M66),MAX(1,N(IFERROR(INDEX(SPEC_CIRC,MATCH(INDEX(Equipment!$C$7:$C$18,MAX(1,N($W66))),SPEC_SKU,0)),1))))*N($F66)*INDEX(SZ_Z,MATCH(IF($L66&lt;&gt;"",$L66,$K66),SZ_SIZE,0))/1000/IF($V66="L2",N(Equipment!$B$30),Project!$B$29),""))</f>
        <v/>
      </c>
      <c r="P66" s="863">
        <f>IF(N($J66)=0,"",IFERROR(INDEX(IF($B$6="Cu",EGC_CU,EGC_AL),MATCH($J66,EGC_OCPD,1)+IF(ISNUMBER(MATCH($J66,EGC_OCPD,0)),0,1)),""))</f>
        <v/>
      </c>
      <c r="Q66" s="863">
        <f>IF(N($N66)=0,"",IFERROR(INDEX(IF($V66="L2",CND_2G,CND_3G),MATCH(IF($L66&lt;&gt;"",$L66,$K66),CND_SIZE,0)),""))</f>
        <v/>
      </c>
      <c r="R66" s="807" t="n"/>
      <c r="S66" s="867">
        <f>IF(OR(N($F66)=0,N($N66)=0),0,IFERROR(N($F66)*IF(N($M66)&gt;0,N($M66),MAX(1,N(IFERROR(INDEX(SPEC_CIRC,MATCH(INDEX(Equipment!$C$7:$C$18,MAX(1,N($W66))),SPEC_SKU,0)),1))))*IF($V66="L2",2,3)*INDEX(IF($B$6="Cu",WIRE_CU,WIRE_AL),MATCH(IF($L66&lt;&gt;"",$L66,$K66),WIRE_SIZE,0)),0)+IFERROR(N($F66)*IF(N($M66)&gt;0,N($M66),MAX(1,N(IFERROR(INDEX(SPEC_CIRC,MATCH(INDEX(Equipment!$C$7:$C$18,MAX(1,N($W66))),SPEC_SKU,0)),1))))*INDEX(IF($B$6="Cu",WIRE_CU,WIRE_AL),MATCH($P66,WIRE_SIZE,0)),0)+IFERROR(N($F66)*IF(N($M66)&gt;0,N($M66),MAX(1,N(IFERROR(INDEX(SPEC_CIRC,MATCH(INDEX(Equipment!$C$7:$C$18,MAX(1,N($W66))),SPEC_SKU,0)),1))))*INDEX(PVC_RATE,MATCH(IF($R66&lt;&gt;"",$R66,$Q66),PVC_SIZE,0)),0)+IF($V66="L2",0,IFERROR(N($F66)*INDEX(PVC_RATE,MATCH("(3/4"")",PVC_SIZE,0)),0)))</f>
        <v/>
      </c>
      <c r="T66" s="863">
        <f>IF($W66="","",IF($U66=0,"shared — on circuit "&amp;$E66&amp;", sized and priced on its first unit",IF(N($F66)=0,"ENTER THE DISTANCE",IF($B$10="","SET THE DESIGN AMBIENT in block A — nothing on this row can be trusted until it is",IF(IF($L66&lt;&gt;"",$L66,$K66)="PARALLEL SETS","PARALLEL SETS NEEDED — no single conductor carries "&amp;TEXT(N($I66),"#,##0")&amp;" A within the drop allowance; enter sets in column M",IF(N($N66)=0,"no ampacity on file for the override size — NEC Table 310.16 does not list it",IF(N($N66)&lt;IF(N($J66)&gt;800,N($J66),N($I66)),"UNDERSIZED — "&amp;TEXT(N($N66),"#,##0")&amp;" A provided against a floor of "&amp;TEXT(IF(N($J66)&gt;800,N($J66),N($I66)),"#,##0")&amp;" A",IF(N($O66)&gt;$B$13,"ampacity OK but voltage drop "&amp;TEXT(N($O66),"0.0%")&amp;" exceeds the allowance — ADVISORY, upsize the override","OK — "&amp;IF(IF(N($M66)&gt;0,N($M66),MAX(1,N(IFERROR(INDEX(SPEC_CIRC,MATCH(INDEX(Equipment!$C$7:$C$18,MAX(1,N($W66))),SPEC_SKU,0)),1))))&gt;1,TEXT(IF(N($M66)&gt;0,N($M66),MAX(1,N(IFERROR(INDEX(SPEC_CIRC,MATCH(INDEX(Equipment!$C$7:$C$18,MAX(1,N($W66))),SPEC_SKU,0)),1)))),"0")&amp;" sets of ","")&amp;IF($L66&lt;&gt;"",$L66,$K66)&amp;IF($L66&lt;&gt;""," (override)","")&amp;", "&amp;TEXT(N($N66),"#,##0")&amp;" A against a "&amp;TEXT(IF(N($J66)&gt;800,N($J66),N($I66)),"#,##0")&amp;" A floor; drop "&amp;TEXT(N($O66),"0.0%")&amp;" (ADVISORY)"))))))))</f>
        <v/>
      </c>
      <c r="U66" s="868">
        <f>IF($W66="",0,IF($E66="",1,IF(MATCH($E66,$E$18:$E$77,0)=49,1,0)))</f>
        <v/>
      </c>
      <c r="V66" s="869">
        <f>IF($W66="","",IF(INDEX(Equipment!$E$7:$E$18,$W66)="level_2","L2",IF(INDEX(Equipment!$E$7:$E$18,$W66)="power_cabinet","CAB","DC")))</f>
        <v/>
      </c>
      <c r="W66" s="868">
        <f>IF(N($B$80)&gt;=49,COUNTIF(Equipment!$S$7:$S$18,"&lt;49")+1,"")</f>
        <v/>
      </c>
      <c r="X66" s="868">
        <f>IF($U66&lt;&gt;1,"",IF(N($M66)&gt;0,N($M66),MAX(1,N(IFERROR(INDEX(SPEC_CIRC,MATCH(INDEX(Equipment!$C$7:$C$18,MAX(1,N($W66))),SPEC_SKU,0)),1)))))</f>
        <v/>
      </c>
    </row>
    <row r="67" ht="16" customHeight="1" s="254">
      <c r="A67" s="862">
        <f>IF($W67="","","Charger 50")</f>
        <v/>
      </c>
      <c r="B67" s="863">
        <f>IF($W67="","","Line "&amp;$W67&amp;" · "&amp;INDEX(Equipment!$C$7:$C$18,$W67)&amp;" · "&amp;INDEX(Equipment!$B$7:$B$18,$W67)&amp;" · #"&amp;(50-INDEX(Equipment!$R$7:$R$18,$W67)+1)&amp;" of "&amp;INDEX(Equipment!$I$7:$I$18,$W67))</f>
        <v/>
      </c>
      <c r="C67" s="863">
        <f>IF($W67="","",IF($V67="L2",TEXT(N(Equipment!$B$30),"0")&amp;" V 1-ph",TEXT(Project!$B$29,"0")&amp;" V 3-ph"))</f>
        <v/>
      </c>
      <c r="D67" s="864">
        <f>IF($W67="","",INDEX(Equipment!$G$7:$G$18,$W67))</f>
        <v/>
      </c>
      <c r="E67" s="807" t="n"/>
      <c r="F67" s="831" t="n"/>
      <c r="G67" s="807" t="n"/>
      <c r="H67" s="865">
        <f>IF($U67&lt;&gt;1,"",IF($E67="",N($D67),SUMIF($E$18:$E$77,$E67,$D$18:$D$77))*1000/(IF($V67="L2",N(Equipment!$B$30),Project!$B$29)*IF($V67="L2",1,SQRT(3))))</f>
        <v/>
      </c>
      <c r="I67" s="865">
        <f>IF(N($H67)=0,"",N($H67)*1.25)</f>
        <v/>
      </c>
      <c r="J67" s="865">
        <f>IF(N($I67)=0,"",IF(ISNUMBER(MATCH($I67,OCPD_LIST,0)),$I67,IF($I67&gt;MAX(OCPD_LIST),"ABOVE LIST",INDEX(OCPD_LIST,MATCH($I67,OCPD_LIST,1)+1))))</f>
        <v/>
      </c>
      <c r="K67" s="863">
        <f>IF(OR(N($I67)=0,$B$10=""),"",IF(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gt;ROWS(SZ_SIZE),"PARALLEL SETS",INDEX(SZ_SIZE,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f>
        <v/>
      </c>
      <c r="L67" s="807" t="n"/>
      <c r="M67" s="831" t="n"/>
      <c r="N67" s="865">
        <f>IF(OR(IF($L67&lt;&gt;"",$L67,$K67)="",IF($L67&lt;&gt;"",$L67,$K67)="PARALLEL SETS"),"",IFERROR(INDEX(SZ_AMP,MATCH(IF($L67&lt;&gt;"",$L67,$K67),SZ_SIZE,0))*IF(N($M67)&gt;0,N($M67),MAX(1,N(IFERROR(INDEX(SPEC_CIRC,MATCH(INDEX(Equipment!$C$7:$C$18,MAX(1,N($W67))),SPEC_SKU,0)),1)))),""))</f>
        <v/>
      </c>
      <c r="O67" s="866">
        <f>IF(OR(N($N67)=0,N($F67)=0),"",IFERROR(IF($V67="L2",2,SQRT(3))*N($H67)/IF(N($M67)&gt;0,N($M67),MAX(1,N(IFERROR(INDEX(SPEC_CIRC,MATCH(INDEX(Equipment!$C$7:$C$18,MAX(1,N($W67))),SPEC_SKU,0)),1))))*N($F67)*INDEX(SZ_Z,MATCH(IF($L67&lt;&gt;"",$L67,$K67),SZ_SIZE,0))/1000/IF($V67="L2",N(Equipment!$B$30),Project!$B$29),""))</f>
        <v/>
      </c>
      <c r="P67" s="863">
        <f>IF(N($J67)=0,"",IFERROR(INDEX(IF($B$6="Cu",EGC_CU,EGC_AL),MATCH($J67,EGC_OCPD,1)+IF(ISNUMBER(MATCH($J67,EGC_OCPD,0)),0,1)),""))</f>
        <v/>
      </c>
      <c r="Q67" s="863">
        <f>IF(N($N67)=0,"",IFERROR(INDEX(IF($V67="L2",CND_2G,CND_3G),MATCH(IF($L67&lt;&gt;"",$L67,$K67),CND_SIZE,0)),""))</f>
        <v/>
      </c>
      <c r="R67" s="807" t="n"/>
      <c r="S67" s="867">
        <f>IF(OR(N($F67)=0,N($N67)=0),0,IFERROR(N($F67)*IF(N($M67)&gt;0,N($M67),MAX(1,N(IFERROR(INDEX(SPEC_CIRC,MATCH(INDEX(Equipment!$C$7:$C$18,MAX(1,N($W67))),SPEC_SKU,0)),1))))*IF($V67="L2",2,3)*INDEX(IF($B$6="Cu",WIRE_CU,WIRE_AL),MATCH(IF($L67&lt;&gt;"",$L67,$K67),WIRE_SIZE,0)),0)+IFERROR(N($F67)*IF(N($M67)&gt;0,N($M67),MAX(1,N(IFERROR(INDEX(SPEC_CIRC,MATCH(INDEX(Equipment!$C$7:$C$18,MAX(1,N($W67))),SPEC_SKU,0)),1))))*INDEX(IF($B$6="Cu",WIRE_CU,WIRE_AL),MATCH($P67,WIRE_SIZE,0)),0)+IFERROR(N($F67)*IF(N($M67)&gt;0,N($M67),MAX(1,N(IFERROR(INDEX(SPEC_CIRC,MATCH(INDEX(Equipment!$C$7:$C$18,MAX(1,N($W67))),SPEC_SKU,0)),1))))*INDEX(PVC_RATE,MATCH(IF($R67&lt;&gt;"",$R67,$Q67),PVC_SIZE,0)),0)+IF($V67="L2",0,IFERROR(N($F67)*INDEX(PVC_RATE,MATCH("(3/4"")",PVC_SIZE,0)),0)))</f>
        <v/>
      </c>
      <c r="T67" s="863">
        <f>IF($W67="","",IF($U67=0,"shared — on circuit "&amp;$E67&amp;", sized and priced on its first unit",IF(N($F67)=0,"ENTER THE DISTANCE",IF($B$10="","SET THE DESIGN AMBIENT in block A — nothing on this row can be trusted until it is",IF(IF($L67&lt;&gt;"",$L67,$K67)="PARALLEL SETS","PARALLEL SETS NEEDED — no single conductor carries "&amp;TEXT(N($I67),"#,##0")&amp;" A within the drop allowance; enter sets in column M",IF(N($N67)=0,"no ampacity on file for the override size — NEC Table 310.16 does not list it",IF(N($N67)&lt;IF(N($J67)&gt;800,N($J67),N($I67)),"UNDERSIZED — "&amp;TEXT(N($N67),"#,##0")&amp;" A provided against a floor of "&amp;TEXT(IF(N($J67)&gt;800,N($J67),N($I67)),"#,##0")&amp;" A",IF(N($O67)&gt;$B$13,"ampacity OK but voltage drop "&amp;TEXT(N($O67),"0.0%")&amp;" exceeds the allowance — ADVISORY, upsize the override","OK — "&amp;IF(IF(N($M67)&gt;0,N($M67),MAX(1,N(IFERROR(INDEX(SPEC_CIRC,MATCH(INDEX(Equipment!$C$7:$C$18,MAX(1,N($W67))),SPEC_SKU,0)),1))))&gt;1,TEXT(IF(N($M67)&gt;0,N($M67),MAX(1,N(IFERROR(INDEX(SPEC_CIRC,MATCH(INDEX(Equipment!$C$7:$C$18,MAX(1,N($W67))),SPEC_SKU,0)),1)))),"0")&amp;" sets of ","")&amp;IF($L67&lt;&gt;"",$L67,$K67)&amp;IF($L67&lt;&gt;""," (override)","")&amp;", "&amp;TEXT(N($N67),"#,##0")&amp;" A against a "&amp;TEXT(IF(N($J67)&gt;800,N($J67),N($I67)),"#,##0")&amp;" A floor; drop "&amp;TEXT(N($O67),"0.0%")&amp;" (ADVISORY)"))))))))</f>
        <v/>
      </c>
      <c r="U67" s="868">
        <f>IF($W67="",0,IF($E67="",1,IF(MATCH($E67,$E$18:$E$77,0)=50,1,0)))</f>
        <v/>
      </c>
      <c r="V67" s="869">
        <f>IF($W67="","",IF(INDEX(Equipment!$E$7:$E$18,$W67)="level_2","L2",IF(INDEX(Equipment!$E$7:$E$18,$W67)="power_cabinet","CAB","DC")))</f>
        <v/>
      </c>
      <c r="W67" s="868">
        <f>IF(N($B$80)&gt;=50,COUNTIF(Equipment!$S$7:$S$18,"&lt;50")+1,"")</f>
        <v/>
      </c>
      <c r="X67" s="868">
        <f>IF($U67&lt;&gt;1,"",IF(N($M67)&gt;0,N($M67),MAX(1,N(IFERROR(INDEX(SPEC_CIRC,MATCH(INDEX(Equipment!$C$7:$C$18,MAX(1,N($W67))),SPEC_SKU,0)),1)))))</f>
        <v/>
      </c>
    </row>
    <row r="68" ht="16" customHeight="1" s="254">
      <c r="A68" s="862">
        <f>IF($W68="","","Charger 51")</f>
        <v/>
      </c>
      <c r="B68" s="863">
        <f>IF($W68="","","Line "&amp;$W68&amp;" · "&amp;INDEX(Equipment!$C$7:$C$18,$W68)&amp;" · "&amp;INDEX(Equipment!$B$7:$B$18,$W68)&amp;" · #"&amp;(51-INDEX(Equipment!$R$7:$R$18,$W68)+1)&amp;" of "&amp;INDEX(Equipment!$I$7:$I$18,$W68))</f>
        <v/>
      </c>
      <c r="C68" s="863">
        <f>IF($W68="","",IF($V68="L2",TEXT(N(Equipment!$B$30),"0")&amp;" V 1-ph",TEXT(Project!$B$29,"0")&amp;" V 3-ph"))</f>
        <v/>
      </c>
      <c r="D68" s="864">
        <f>IF($W68="","",INDEX(Equipment!$G$7:$G$18,$W68))</f>
        <v/>
      </c>
      <c r="E68" s="807" t="n"/>
      <c r="F68" s="831" t="n"/>
      <c r="G68" s="807" t="n"/>
      <c r="H68" s="865">
        <f>IF($U68&lt;&gt;1,"",IF($E68="",N($D68),SUMIF($E$18:$E$77,$E68,$D$18:$D$77))*1000/(IF($V68="L2",N(Equipment!$B$30),Project!$B$29)*IF($V68="L2",1,SQRT(3))))</f>
        <v/>
      </c>
      <c r="I68" s="865">
        <f>IF(N($H68)=0,"",N($H68)*1.25)</f>
        <v/>
      </c>
      <c r="J68" s="865">
        <f>IF(N($I68)=0,"",IF(ISNUMBER(MATCH($I68,OCPD_LIST,0)),$I68,IF($I68&gt;MAX(OCPD_LIST),"ABOVE LIST",INDEX(OCPD_LIST,MATCH($I68,OCPD_LIST,1)+1))))</f>
        <v/>
      </c>
      <c r="K68" s="863">
        <f>IF(OR(N($I68)=0,$B$10=""),"",IF(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gt;ROWS(SZ_SIZE),"PARALLEL SETS",INDEX(SZ_SIZE,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f>
        <v/>
      </c>
      <c r="L68" s="807" t="n"/>
      <c r="M68" s="831" t="n"/>
      <c r="N68" s="865">
        <f>IF(OR(IF($L68&lt;&gt;"",$L68,$K68)="",IF($L68&lt;&gt;"",$L68,$K68)="PARALLEL SETS"),"",IFERROR(INDEX(SZ_AMP,MATCH(IF($L68&lt;&gt;"",$L68,$K68),SZ_SIZE,0))*IF(N($M68)&gt;0,N($M68),MAX(1,N(IFERROR(INDEX(SPEC_CIRC,MATCH(INDEX(Equipment!$C$7:$C$18,MAX(1,N($W68))),SPEC_SKU,0)),1)))),""))</f>
        <v/>
      </c>
      <c r="O68" s="866">
        <f>IF(OR(N($N68)=0,N($F68)=0),"",IFERROR(IF($V68="L2",2,SQRT(3))*N($H68)/IF(N($M68)&gt;0,N($M68),MAX(1,N(IFERROR(INDEX(SPEC_CIRC,MATCH(INDEX(Equipment!$C$7:$C$18,MAX(1,N($W68))),SPEC_SKU,0)),1))))*N($F68)*INDEX(SZ_Z,MATCH(IF($L68&lt;&gt;"",$L68,$K68),SZ_SIZE,0))/1000/IF($V68="L2",N(Equipment!$B$30),Project!$B$29),""))</f>
        <v/>
      </c>
      <c r="P68" s="863">
        <f>IF(N($J68)=0,"",IFERROR(INDEX(IF($B$6="Cu",EGC_CU,EGC_AL),MATCH($J68,EGC_OCPD,1)+IF(ISNUMBER(MATCH($J68,EGC_OCPD,0)),0,1)),""))</f>
        <v/>
      </c>
      <c r="Q68" s="863">
        <f>IF(N($N68)=0,"",IFERROR(INDEX(IF($V68="L2",CND_2G,CND_3G),MATCH(IF($L68&lt;&gt;"",$L68,$K68),CND_SIZE,0)),""))</f>
        <v/>
      </c>
      <c r="R68" s="807" t="n"/>
      <c r="S68" s="867">
        <f>IF(OR(N($F68)=0,N($N68)=0),0,IFERROR(N($F68)*IF(N($M68)&gt;0,N($M68),MAX(1,N(IFERROR(INDEX(SPEC_CIRC,MATCH(INDEX(Equipment!$C$7:$C$18,MAX(1,N($W68))),SPEC_SKU,0)),1))))*IF($V68="L2",2,3)*INDEX(IF($B$6="Cu",WIRE_CU,WIRE_AL),MATCH(IF($L68&lt;&gt;"",$L68,$K68),WIRE_SIZE,0)),0)+IFERROR(N($F68)*IF(N($M68)&gt;0,N($M68),MAX(1,N(IFERROR(INDEX(SPEC_CIRC,MATCH(INDEX(Equipment!$C$7:$C$18,MAX(1,N($W68))),SPEC_SKU,0)),1))))*INDEX(IF($B$6="Cu",WIRE_CU,WIRE_AL),MATCH($P68,WIRE_SIZE,0)),0)+IFERROR(N($F68)*IF(N($M68)&gt;0,N($M68),MAX(1,N(IFERROR(INDEX(SPEC_CIRC,MATCH(INDEX(Equipment!$C$7:$C$18,MAX(1,N($W68))),SPEC_SKU,0)),1))))*INDEX(PVC_RATE,MATCH(IF($R68&lt;&gt;"",$R68,$Q68),PVC_SIZE,0)),0)+IF($V68="L2",0,IFERROR(N($F68)*INDEX(PVC_RATE,MATCH("(3/4"")",PVC_SIZE,0)),0)))</f>
        <v/>
      </c>
      <c r="T68" s="863">
        <f>IF($W68="","",IF($U68=0,"shared — on circuit "&amp;$E68&amp;", sized and priced on its first unit",IF(N($F68)=0,"ENTER THE DISTANCE",IF($B$10="","SET THE DESIGN AMBIENT in block A — nothing on this row can be trusted until it is",IF(IF($L68&lt;&gt;"",$L68,$K68)="PARALLEL SETS","PARALLEL SETS NEEDED — no single conductor carries "&amp;TEXT(N($I68),"#,##0")&amp;" A within the drop allowance; enter sets in column M",IF(N($N68)=0,"no ampacity on file for the override size — NEC Table 310.16 does not list it",IF(N($N68)&lt;IF(N($J68)&gt;800,N($J68),N($I68)),"UNDERSIZED — "&amp;TEXT(N($N68),"#,##0")&amp;" A provided against a floor of "&amp;TEXT(IF(N($J68)&gt;800,N($J68),N($I68)),"#,##0")&amp;" A",IF(N($O68)&gt;$B$13,"ampacity OK but voltage drop "&amp;TEXT(N($O68),"0.0%")&amp;" exceeds the allowance — ADVISORY, upsize the override","OK — "&amp;IF(IF(N($M68)&gt;0,N($M68),MAX(1,N(IFERROR(INDEX(SPEC_CIRC,MATCH(INDEX(Equipment!$C$7:$C$18,MAX(1,N($W68))),SPEC_SKU,0)),1))))&gt;1,TEXT(IF(N($M68)&gt;0,N($M68),MAX(1,N(IFERROR(INDEX(SPEC_CIRC,MATCH(INDEX(Equipment!$C$7:$C$18,MAX(1,N($W68))),SPEC_SKU,0)),1)))),"0")&amp;" sets of ","")&amp;IF($L68&lt;&gt;"",$L68,$K68)&amp;IF($L68&lt;&gt;""," (override)","")&amp;", "&amp;TEXT(N($N68),"#,##0")&amp;" A against a "&amp;TEXT(IF(N($J68)&gt;800,N($J68),N($I68)),"#,##0")&amp;" A floor; drop "&amp;TEXT(N($O68),"0.0%")&amp;" (ADVISORY)"))))))))</f>
        <v/>
      </c>
      <c r="U68" s="868">
        <f>IF($W68="",0,IF($E68="",1,IF(MATCH($E68,$E$18:$E$77,0)=51,1,0)))</f>
        <v/>
      </c>
      <c r="V68" s="869">
        <f>IF($W68="","",IF(INDEX(Equipment!$E$7:$E$18,$W68)="level_2","L2",IF(INDEX(Equipment!$E$7:$E$18,$W68)="power_cabinet","CAB","DC")))</f>
        <v/>
      </c>
      <c r="W68" s="868">
        <f>IF(N($B$80)&gt;=51,COUNTIF(Equipment!$S$7:$S$18,"&lt;51")+1,"")</f>
        <v/>
      </c>
      <c r="X68" s="868">
        <f>IF($U68&lt;&gt;1,"",IF(N($M68)&gt;0,N($M68),MAX(1,N(IFERROR(INDEX(SPEC_CIRC,MATCH(INDEX(Equipment!$C$7:$C$18,MAX(1,N($W68))),SPEC_SKU,0)),1)))))</f>
        <v/>
      </c>
    </row>
    <row r="69" ht="16" customHeight="1" s="254">
      <c r="A69" s="862">
        <f>IF($W69="","","Charger 52")</f>
        <v/>
      </c>
      <c r="B69" s="863">
        <f>IF($W69="","","Line "&amp;$W69&amp;" · "&amp;INDEX(Equipment!$C$7:$C$18,$W69)&amp;" · "&amp;INDEX(Equipment!$B$7:$B$18,$W69)&amp;" · #"&amp;(52-INDEX(Equipment!$R$7:$R$18,$W69)+1)&amp;" of "&amp;INDEX(Equipment!$I$7:$I$18,$W69))</f>
        <v/>
      </c>
      <c r="C69" s="863">
        <f>IF($W69="","",IF($V69="L2",TEXT(N(Equipment!$B$30),"0")&amp;" V 1-ph",TEXT(Project!$B$29,"0")&amp;" V 3-ph"))</f>
        <v/>
      </c>
      <c r="D69" s="864">
        <f>IF($W69="","",INDEX(Equipment!$G$7:$G$18,$W69))</f>
        <v/>
      </c>
      <c r="E69" s="807" t="n"/>
      <c r="F69" s="831" t="n"/>
      <c r="G69" s="807" t="n"/>
      <c r="H69" s="865">
        <f>IF($U69&lt;&gt;1,"",IF($E69="",N($D69),SUMIF($E$18:$E$77,$E69,$D$18:$D$77))*1000/(IF($V69="L2",N(Equipment!$B$30),Project!$B$29)*IF($V69="L2",1,SQRT(3))))</f>
        <v/>
      </c>
      <c r="I69" s="865">
        <f>IF(N($H69)=0,"",N($H69)*1.25)</f>
        <v/>
      </c>
      <c r="J69" s="865">
        <f>IF(N($I69)=0,"",IF(ISNUMBER(MATCH($I69,OCPD_LIST,0)),$I69,IF($I69&gt;MAX(OCPD_LIST),"ABOVE LIST",INDEX(OCPD_LIST,MATCH($I69,OCPD_LIST,1)+1))))</f>
        <v/>
      </c>
      <c r="K69" s="863">
        <f>IF(OR(N($I69)=0,$B$10=""),"",IF(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gt;ROWS(SZ_SIZE),"PARALLEL SETS",INDEX(SZ_SIZE,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f>
        <v/>
      </c>
      <c r="L69" s="807" t="n"/>
      <c r="M69" s="831" t="n"/>
      <c r="N69" s="865">
        <f>IF(OR(IF($L69&lt;&gt;"",$L69,$K69)="",IF($L69&lt;&gt;"",$L69,$K69)="PARALLEL SETS"),"",IFERROR(INDEX(SZ_AMP,MATCH(IF($L69&lt;&gt;"",$L69,$K69),SZ_SIZE,0))*IF(N($M69)&gt;0,N($M69),MAX(1,N(IFERROR(INDEX(SPEC_CIRC,MATCH(INDEX(Equipment!$C$7:$C$18,MAX(1,N($W69))),SPEC_SKU,0)),1)))),""))</f>
        <v/>
      </c>
      <c r="O69" s="866">
        <f>IF(OR(N($N69)=0,N($F69)=0),"",IFERROR(IF($V69="L2",2,SQRT(3))*N($H69)/IF(N($M69)&gt;0,N($M69),MAX(1,N(IFERROR(INDEX(SPEC_CIRC,MATCH(INDEX(Equipment!$C$7:$C$18,MAX(1,N($W69))),SPEC_SKU,0)),1))))*N($F69)*INDEX(SZ_Z,MATCH(IF($L69&lt;&gt;"",$L69,$K69),SZ_SIZE,0))/1000/IF($V69="L2",N(Equipment!$B$30),Project!$B$29),""))</f>
        <v/>
      </c>
      <c r="P69" s="863">
        <f>IF(N($J69)=0,"",IFERROR(INDEX(IF($B$6="Cu",EGC_CU,EGC_AL),MATCH($J69,EGC_OCPD,1)+IF(ISNUMBER(MATCH($J69,EGC_OCPD,0)),0,1)),""))</f>
        <v/>
      </c>
      <c r="Q69" s="863">
        <f>IF(N($N69)=0,"",IFERROR(INDEX(IF($V69="L2",CND_2G,CND_3G),MATCH(IF($L69&lt;&gt;"",$L69,$K69),CND_SIZE,0)),""))</f>
        <v/>
      </c>
      <c r="R69" s="807" t="n"/>
      <c r="S69" s="867">
        <f>IF(OR(N($F69)=0,N($N69)=0),0,IFERROR(N($F69)*IF(N($M69)&gt;0,N($M69),MAX(1,N(IFERROR(INDEX(SPEC_CIRC,MATCH(INDEX(Equipment!$C$7:$C$18,MAX(1,N($W69))),SPEC_SKU,0)),1))))*IF($V69="L2",2,3)*INDEX(IF($B$6="Cu",WIRE_CU,WIRE_AL),MATCH(IF($L69&lt;&gt;"",$L69,$K69),WIRE_SIZE,0)),0)+IFERROR(N($F69)*IF(N($M69)&gt;0,N($M69),MAX(1,N(IFERROR(INDEX(SPEC_CIRC,MATCH(INDEX(Equipment!$C$7:$C$18,MAX(1,N($W69))),SPEC_SKU,0)),1))))*INDEX(IF($B$6="Cu",WIRE_CU,WIRE_AL),MATCH($P69,WIRE_SIZE,0)),0)+IFERROR(N($F69)*IF(N($M69)&gt;0,N($M69),MAX(1,N(IFERROR(INDEX(SPEC_CIRC,MATCH(INDEX(Equipment!$C$7:$C$18,MAX(1,N($W69))),SPEC_SKU,0)),1))))*INDEX(PVC_RATE,MATCH(IF($R69&lt;&gt;"",$R69,$Q69),PVC_SIZE,0)),0)+IF($V69="L2",0,IFERROR(N($F69)*INDEX(PVC_RATE,MATCH("(3/4"")",PVC_SIZE,0)),0)))</f>
        <v/>
      </c>
      <c r="T69" s="863">
        <f>IF($W69="","",IF($U69=0,"shared — on circuit "&amp;$E69&amp;", sized and priced on its first unit",IF(N($F69)=0,"ENTER THE DISTANCE",IF($B$10="","SET THE DESIGN AMBIENT in block A — nothing on this row can be trusted until it is",IF(IF($L69&lt;&gt;"",$L69,$K69)="PARALLEL SETS","PARALLEL SETS NEEDED — no single conductor carries "&amp;TEXT(N($I69),"#,##0")&amp;" A within the drop allowance; enter sets in column M",IF(N($N69)=0,"no ampacity on file for the override size — NEC Table 310.16 does not list it",IF(N($N69)&lt;IF(N($J69)&gt;800,N($J69),N($I69)),"UNDERSIZED — "&amp;TEXT(N($N69),"#,##0")&amp;" A provided against a floor of "&amp;TEXT(IF(N($J69)&gt;800,N($J69),N($I69)),"#,##0")&amp;" A",IF(N($O69)&gt;$B$13,"ampacity OK but voltage drop "&amp;TEXT(N($O69),"0.0%")&amp;" exceeds the allowance — ADVISORY, upsize the override","OK — "&amp;IF(IF(N($M69)&gt;0,N($M69),MAX(1,N(IFERROR(INDEX(SPEC_CIRC,MATCH(INDEX(Equipment!$C$7:$C$18,MAX(1,N($W69))),SPEC_SKU,0)),1))))&gt;1,TEXT(IF(N($M69)&gt;0,N($M69),MAX(1,N(IFERROR(INDEX(SPEC_CIRC,MATCH(INDEX(Equipment!$C$7:$C$18,MAX(1,N($W69))),SPEC_SKU,0)),1)))),"0")&amp;" sets of ","")&amp;IF($L69&lt;&gt;"",$L69,$K69)&amp;IF($L69&lt;&gt;""," (override)","")&amp;", "&amp;TEXT(N($N69),"#,##0")&amp;" A against a "&amp;TEXT(IF(N($J69)&gt;800,N($J69),N($I69)),"#,##0")&amp;" A floor; drop "&amp;TEXT(N($O69),"0.0%")&amp;" (ADVISORY)"))))))))</f>
        <v/>
      </c>
      <c r="U69" s="868">
        <f>IF($W69="",0,IF($E69="",1,IF(MATCH($E69,$E$18:$E$77,0)=52,1,0)))</f>
        <v/>
      </c>
      <c r="V69" s="869">
        <f>IF($W69="","",IF(INDEX(Equipment!$E$7:$E$18,$W69)="level_2","L2",IF(INDEX(Equipment!$E$7:$E$18,$W69)="power_cabinet","CAB","DC")))</f>
        <v/>
      </c>
      <c r="W69" s="868">
        <f>IF(N($B$80)&gt;=52,COUNTIF(Equipment!$S$7:$S$18,"&lt;52")+1,"")</f>
        <v/>
      </c>
      <c r="X69" s="868">
        <f>IF($U69&lt;&gt;1,"",IF(N($M69)&gt;0,N($M69),MAX(1,N(IFERROR(INDEX(SPEC_CIRC,MATCH(INDEX(Equipment!$C$7:$C$18,MAX(1,N($W69))),SPEC_SKU,0)),1)))))</f>
        <v/>
      </c>
    </row>
    <row r="70" ht="16" customHeight="1" s="254">
      <c r="A70" s="862">
        <f>IF($W70="","","Charger 53")</f>
        <v/>
      </c>
      <c r="B70" s="863">
        <f>IF($W70="","","Line "&amp;$W70&amp;" · "&amp;INDEX(Equipment!$C$7:$C$18,$W70)&amp;" · "&amp;INDEX(Equipment!$B$7:$B$18,$W70)&amp;" · #"&amp;(53-INDEX(Equipment!$R$7:$R$18,$W70)+1)&amp;" of "&amp;INDEX(Equipment!$I$7:$I$18,$W70))</f>
        <v/>
      </c>
      <c r="C70" s="863">
        <f>IF($W70="","",IF($V70="L2",TEXT(N(Equipment!$B$30),"0")&amp;" V 1-ph",TEXT(Project!$B$29,"0")&amp;" V 3-ph"))</f>
        <v/>
      </c>
      <c r="D70" s="864">
        <f>IF($W70="","",INDEX(Equipment!$G$7:$G$18,$W70))</f>
        <v/>
      </c>
      <c r="E70" s="807" t="n"/>
      <c r="F70" s="831" t="n"/>
      <c r="G70" s="807" t="n"/>
      <c r="H70" s="865">
        <f>IF($U70&lt;&gt;1,"",IF($E70="",N($D70),SUMIF($E$18:$E$77,$E70,$D$18:$D$77))*1000/(IF($V70="L2",N(Equipment!$B$30),Project!$B$29)*IF($V70="L2",1,SQRT(3))))</f>
        <v/>
      </c>
      <c r="I70" s="865">
        <f>IF(N($H70)=0,"",N($H70)*1.25)</f>
        <v/>
      </c>
      <c r="J70" s="865">
        <f>IF(N($I70)=0,"",IF(ISNUMBER(MATCH($I70,OCPD_LIST,0)),$I70,IF($I70&gt;MAX(OCPD_LIST),"ABOVE LIST",INDEX(OCPD_LIST,MATCH($I70,OCPD_LIST,1)+1))))</f>
        <v/>
      </c>
      <c r="K70" s="863">
        <f>IF(OR(N($I70)=0,$B$10=""),"",IF(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gt;ROWS(SZ_SIZE),"PARALLEL SETS",INDEX(SZ_SIZE,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f>
        <v/>
      </c>
      <c r="L70" s="807" t="n"/>
      <c r="M70" s="831" t="n"/>
      <c r="N70" s="865">
        <f>IF(OR(IF($L70&lt;&gt;"",$L70,$K70)="",IF($L70&lt;&gt;"",$L70,$K70)="PARALLEL SETS"),"",IFERROR(INDEX(SZ_AMP,MATCH(IF($L70&lt;&gt;"",$L70,$K70),SZ_SIZE,0))*IF(N($M70)&gt;0,N($M70),MAX(1,N(IFERROR(INDEX(SPEC_CIRC,MATCH(INDEX(Equipment!$C$7:$C$18,MAX(1,N($W70))),SPEC_SKU,0)),1)))),""))</f>
        <v/>
      </c>
      <c r="O70" s="866">
        <f>IF(OR(N($N70)=0,N($F70)=0),"",IFERROR(IF($V70="L2",2,SQRT(3))*N($H70)/IF(N($M70)&gt;0,N($M70),MAX(1,N(IFERROR(INDEX(SPEC_CIRC,MATCH(INDEX(Equipment!$C$7:$C$18,MAX(1,N($W70))),SPEC_SKU,0)),1))))*N($F70)*INDEX(SZ_Z,MATCH(IF($L70&lt;&gt;"",$L70,$K70),SZ_SIZE,0))/1000/IF($V70="L2",N(Equipment!$B$30),Project!$B$29),""))</f>
        <v/>
      </c>
      <c r="P70" s="863">
        <f>IF(N($J70)=0,"",IFERROR(INDEX(IF($B$6="Cu",EGC_CU,EGC_AL),MATCH($J70,EGC_OCPD,1)+IF(ISNUMBER(MATCH($J70,EGC_OCPD,0)),0,1)),""))</f>
        <v/>
      </c>
      <c r="Q70" s="863">
        <f>IF(N($N70)=0,"",IFERROR(INDEX(IF($V70="L2",CND_2G,CND_3G),MATCH(IF($L70&lt;&gt;"",$L70,$K70),CND_SIZE,0)),""))</f>
        <v/>
      </c>
      <c r="R70" s="807" t="n"/>
      <c r="S70" s="867">
        <f>IF(OR(N($F70)=0,N($N70)=0),0,IFERROR(N($F70)*IF(N($M70)&gt;0,N($M70),MAX(1,N(IFERROR(INDEX(SPEC_CIRC,MATCH(INDEX(Equipment!$C$7:$C$18,MAX(1,N($W70))),SPEC_SKU,0)),1))))*IF($V70="L2",2,3)*INDEX(IF($B$6="Cu",WIRE_CU,WIRE_AL),MATCH(IF($L70&lt;&gt;"",$L70,$K70),WIRE_SIZE,0)),0)+IFERROR(N($F70)*IF(N($M70)&gt;0,N($M70),MAX(1,N(IFERROR(INDEX(SPEC_CIRC,MATCH(INDEX(Equipment!$C$7:$C$18,MAX(1,N($W70))),SPEC_SKU,0)),1))))*INDEX(IF($B$6="Cu",WIRE_CU,WIRE_AL),MATCH($P70,WIRE_SIZE,0)),0)+IFERROR(N($F70)*IF(N($M70)&gt;0,N($M70),MAX(1,N(IFERROR(INDEX(SPEC_CIRC,MATCH(INDEX(Equipment!$C$7:$C$18,MAX(1,N($W70))),SPEC_SKU,0)),1))))*INDEX(PVC_RATE,MATCH(IF($R70&lt;&gt;"",$R70,$Q70),PVC_SIZE,0)),0)+IF($V70="L2",0,IFERROR(N($F70)*INDEX(PVC_RATE,MATCH("(3/4"")",PVC_SIZE,0)),0)))</f>
        <v/>
      </c>
      <c r="T70" s="863">
        <f>IF($W70="","",IF($U70=0,"shared — on circuit "&amp;$E70&amp;", sized and priced on its first unit",IF(N($F70)=0,"ENTER THE DISTANCE",IF($B$10="","SET THE DESIGN AMBIENT in block A — nothing on this row can be trusted until it is",IF(IF($L70&lt;&gt;"",$L70,$K70)="PARALLEL SETS","PARALLEL SETS NEEDED — no single conductor carries "&amp;TEXT(N($I70),"#,##0")&amp;" A within the drop allowance; enter sets in column M",IF(N($N70)=0,"no ampacity on file for the override size — NEC Table 310.16 does not list it",IF(N($N70)&lt;IF(N($J70)&gt;800,N($J70),N($I70)),"UNDERSIZED — "&amp;TEXT(N($N70),"#,##0")&amp;" A provided against a floor of "&amp;TEXT(IF(N($J70)&gt;800,N($J70),N($I70)),"#,##0")&amp;" A",IF(N($O70)&gt;$B$13,"ampacity OK but voltage drop "&amp;TEXT(N($O70),"0.0%")&amp;" exceeds the allowance — ADVISORY, upsize the override","OK — "&amp;IF(IF(N($M70)&gt;0,N($M70),MAX(1,N(IFERROR(INDEX(SPEC_CIRC,MATCH(INDEX(Equipment!$C$7:$C$18,MAX(1,N($W70))),SPEC_SKU,0)),1))))&gt;1,TEXT(IF(N($M70)&gt;0,N($M70),MAX(1,N(IFERROR(INDEX(SPEC_CIRC,MATCH(INDEX(Equipment!$C$7:$C$18,MAX(1,N($W70))),SPEC_SKU,0)),1)))),"0")&amp;" sets of ","")&amp;IF($L70&lt;&gt;"",$L70,$K70)&amp;IF($L70&lt;&gt;""," (override)","")&amp;", "&amp;TEXT(N($N70),"#,##0")&amp;" A against a "&amp;TEXT(IF(N($J70)&gt;800,N($J70),N($I70)),"#,##0")&amp;" A floor; drop "&amp;TEXT(N($O70),"0.0%")&amp;" (ADVISORY)"))))))))</f>
        <v/>
      </c>
      <c r="U70" s="868">
        <f>IF($W70="",0,IF($E70="",1,IF(MATCH($E70,$E$18:$E$77,0)=53,1,0)))</f>
        <v/>
      </c>
      <c r="V70" s="869">
        <f>IF($W70="","",IF(INDEX(Equipment!$E$7:$E$18,$W70)="level_2","L2",IF(INDEX(Equipment!$E$7:$E$18,$W70)="power_cabinet","CAB","DC")))</f>
        <v/>
      </c>
      <c r="W70" s="868">
        <f>IF(N($B$80)&gt;=53,COUNTIF(Equipment!$S$7:$S$18,"&lt;53")+1,"")</f>
        <v/>
      </c>
      <c r="X70" s="868">
        <f>IF($U70&lt;&gt;1,"",IF(N($M70)&gt;0,N($M70),MAX(1,N(IFERROR(INDEX(SPEC_CIRC,MATCH(INDEX(Equipment!$C$7:$C$18,MAX(1,N($W70))),SPEC_SKU,0)),1)))))</f>
        <v/>
      </c>
    </row>
    <row r="71" ht="16" customHeight="1" s="254">
      <c r="A71" s="862">
        <f>IF($W71="","","Charger 54")</f>
        <v/>
      </c>
      <c r="B71" s="863">
        <f>IF($W71="","","Line "&amp;$W71&amp;" · "&amp;INDEX(Equipment!$C$7:$C$18,$W71)&amp;" · "&amp;INDEX(Equipment!$B$7:$B$18,$W71)&amp;" · #"&amp;(54-INDEX(Equipment!$R$7:$R$18,$W71)+1)&amp;" of "&amp;INDEX(Equipment!$I$7:$I$18,$W71))</f>
        <v/>
      </c>
      <c r="C71" s="863">
        <f>IF($W71="","",IF($V71="L2",TEXT(N(Equipment!$B$30),"0")&amp;" V 1-ph",TEXT(Project!$B$29,"0")&amp;" V 3-ph"))</f>
        <v/>
      </c>
      <c r="D71" s="864">
        <f>IF($W71="","",INDEX(Equipment!$G$7:$G$18,$W71))</f>
        <v/>
      </c>
      <c r="E71" s="807" t="n"/>
      <c r="F71" s="831" t="n"/>
      <c r="G71" s="807" t="n"/>
      <c r="H71" s="865">
        <f>IF($U71&lt;&gt;1,"",IF($E71="",N($D71),SUMIF($E$18:$E$77,$E71,$D$18:$D$77))*1000/(IF($V71="L2",N(Equipment!$B$30),Project!$B$29)*IF($V71="L2",1,SQRT(3))))</f>
        <v/>
      </c>
      <c r="I71" s="865">
        <f>IF(N($H71)=0,"",N($H71)*1.25)</f>
        <v/>
      </c>
      <c r="J71" s="865">
        <f>IF(N($I71)=0,"",IF(ISNUMBER(MATCH($I71,OCPD_LIST,0)),$I71,IF($I71&gt;MAX(OCPD_LIST),"ABOVE LIST",INDEX(OCPD_LIST,MATCH($I71,OCPD_LIST,1)+1))))</f>
        <v/>
      </c>
      <c r="K71" s="863">
        <f>IF(OR(N($I71)=0,$B$10=""),"",IF(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gt;ROWS(SZ_SIZE),"PARALLEL SETS",INDEX(SZ_SIZE,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f>
        <v/>
      </c>
      <c r="L71" s="807" t="n"/>
      <c r="M71" s="831" t="n"/>
      <c r="N71" s="865">
        <f>IF(OR(IF($L71&lt;&gt;"",$L71,$K71)="",IF($L71&lt;&gt;"",$L71,$K71)="PARALLEL SETS"),"",IFERROR(INDEX(SZ_AMP,MATCH(IF($L71&lt;&gt;"",$L71,$K71),SZ_SIZE,0))*IF(N($M71)&gt;0,N($M71),MAX(1,N(IFERROR(INDEX(SPEC_CIRC,MATCH(INDEX(Equipment!$C$7:$C$18,MAX(1,N($W71))),SPEC_SKU,0)),1)))),""))</f>
        <v/>
      </c>
      <c r="O71" s="866">
        <f>IF(OR(N($N71)=0,N($F71)=0),"",IFERROR(IF($V71="L2",2,SQRT(3))*N($H71)/IF(N($M71)&gt;0,N($M71),MAX(1,N(IFERROR(INDEX(SPEC_CIRC,MATCH(INDEX(Equipment!$C$7:$C$18,MAX(1,N($W71))),SPEC_SKU,0)),1))))*N($F71)*INDEX(SZ_Z,MATCH(IF($L71&lt;&gt;"",$L71,$K71),SZ_SIZE,0))/1000/IF($V71="L2",N(Equipment!$B$30),Project!$B$29),""))</f>
        <v/>
      </c>
      <c r="P71" s="863">
        <f>IF(N($J71)=0,"",IFERROR(INDEX(IF($B$6="Cu",EGC_CU,EGC_AL),MATCH($J71,EGC_OCPD,1)+IF(ISNUMBER(MATCH($J71,EGC_OCPD,0)),0,1)),""))</f>
        <v/>
      </c>
      <c r="Q71" s="863">
        <f>IF(N($N71)=0,"",IFERROR(INDEX(IF($V71="L2",CND_2G,CND_3G),MATCH(IF($L71&lt;&gt;"",$L71,$K71),CND_SIZE,0)),""))</f>
        <v/>
      </c>
      <c r="R71" s="807" t="n"/>
      <c r="S71" s="867">
        <f>IF(OR(N($F71)=0,N($N71)=0),0,IFERROR(N($F71)*IF(N($M71)&gt;0,N($M71),MAX(1,N(IFERROR(INDEX(SPEC_CIRC,MATCH(INDEX(Equipment!$C$7:$C$18,MAX(1,N($W71))),SPEC_SKU,0)),1))))*IF($V71="L2",2,3)*INDEX(IF($B$6="Cu",WIRE_CU,WIRE_AL),MATCH(IF($L71&lt;&gt;"",$L71,$K71),WIRE_SIZE,0)),0)+IFERROR(N($F71)*IF(N($M71)&gt;0,N($M71),MAX(1,N(IFERROR(INDEX(SPEC_CIRC,MATCH(INDEX(Equipment!$C$7:$C$18,MAX(1,N($W71))),SPEC_SKU,0)),1))))*INDEX(IF($B$6="Cu",WIRE_CU,WIRE_AL),MATCH($P71,WIRE_SIZE,0)),0)+IFERROR(N($F71)*IF(N($M71)&gt;0,N($M71),MAX(1,N(IFERROR(INDEX(SPEC_CIRC,MATCH(INDEX(Equipment!$C$7:$C$18,MAX(1,N($W71))),SPEC_SKU,0)),1))))*INDEX(PVC_RATE,MATCH(IF($R71&lt;&gt;"",$R71,$Q71),PVC_SIZE,0)),0)+IF($V71="L2",0,IFERROR(N($F71)*INDEX(PVC_RATE,MATCH("(3/4"")",PVC_SIZE,0)),0)))</f>
        <v/>
      </c>
      <c r="T71" s="863">
        <f>IF($W71="","",IF($U71=0,"shared — on circuit "&amp;$E71&amp;", sized and priced on its first unit",IF(N($F71)=0,"ENTER THE DISTANCE",IF($B$10="","SET THE DESIGN AMBIENT in block A — nothing on this row can be trusted until it is",IF(IF($L71&lt;&gt;"",$L71,$K71)="PARALLEL SETS","PARALLEL SETS NEEDED — no single conductor carries "&amp;TEXT(N($I71),"#,##0")&amp;" A within the drop allowance; enter sets in column M",IF(N($N71)=0,"no ampacity on file for the override size — NEC Table 310.16 does not list it",IF(N($N71)&lt;IF(N($J71)&gt;800,N($J71),N($I71)),"UNDERSIZED — "&amp;TEXT(N($N71),"#,##0")&amp;" A provided against a floor of "&amp;TEXT(IF(N($J71)&gt;800,N($J71),N($I71)),"#,##0")&amp;" A",IF(N($O71)&gt;$B$13,"ampacity OK but voltage drop "&amp;TEXT(N($O71),"0.0%")&amp;" exceeds the allowance — ADVISORY, upsize the override","OK — "&amp;IF(IF(N($M71)&gt;0,N($M71),MAX(1,N(IFERROR(INDEX(SPEC_CIRC,MATCH(INDEX(Equipment!$C$7:$C$18,MAX(1,N($W71))),SPEC_SKU,0)),1))))&gt;1,TEXT(IF(N($M71)&gt;0,N($M71),MAX(1,N(IFERROR(INDEX(SPEC_CIRC,MATCH(INDEX(Equipment!$C$7:$C$18,MAX(1,N($W71))),SPEC_SKU,0)),1)))),"0")&amp;" sets of ","")&amp;IF($L71&lt;&gt;"",$L71,$K71)&amp;IF($L71&lt;&gt;""," (override)","")&amp;", "&amp;TEXT(N($N71),"#,##0")&amp;" A against a "&amp;TEXT(IF(N($J71)&gt;800,N($J71),N($I71)),"#,##0")&amp;" A floor; drop "&amp;TEXT(N($O71),"0.0%")&amp;" (ADVISORY)"))))))))</f>
        <v/>
      </c>
      <c r="U71" s="868">
        <f>IF($W71="",0,IF($E71="",1,IF(MATCH($E71,$E$18:$E$77,0)=54,1,0)))</f>
        <v/>
      </c>
      <c r="V71" s="869">
        <f>IF($W71="","",IF(INDEX(Equipment!$E$7:$E$18,$W71)="level_2","L2",IF(INDEX(Equipment!$E$7:$E$18,$W71)="power_cabinet","CAB","DC")))</f>
        <v/>
      </c>
      <c r="W71" s="868">
        <f>IF(N($B$80)&gt;=54,COUNTIF(Equipment!$S$7:$S$18,"&lt;54")+1,"")</f>
        <v/>
      </c>
      <c r="X71" s="868">
        <f>IF($U71&lt;&gt;1,"",IF(N($M71)&gt;0,N($M71),MAX(1,N(IFERROR(INDEX(SPEC_CIRC,MATCH(INDEX(Equipment!$C$7:$C$18,MAX(1,N($W71))),SPEC_SKU,0)),1)))))</f>
        <v/>
      </c>
    </row>
    <row r="72" ht="16" customHeight="1" s="254">
      <c r="A72" s="862">
        <f>IF($W72="","","Charger 55")</f>
        <v/>
      </c>
      <c r="B72" s="863">
        <f>IF($W72="","","Line "&amp;$W72&amp;" · "&amp;INDEX(Equipment!$C$7:$C$18,$W72)&amp;" · "&amp;INDEX(Equipment!$B$7:$B$18,$W72)&amp;" · #"&amp;(55-INDEX(Equipment!$R$7:$R$18,$W72)+1)&amp;" of "&amp;INDEX(Equipment!$I$7:$I$18,$W72))</f>
        <v/>
      </c>
      <c r="C72" s="863">
        <f>IF($W72="","",IF($V72="L2",TEXT(N(Equipment!$B$30),"0")&amp;" V 1-ph",TEXT(Project!$B$29,"0")&amp;" V 3-ph"))</f>
        <v/>
      </c>
      <c r="D72" s="864">
        <f>IF($W72="","",INDEX(Equipment!$G$7:$G$18,$W72))</f>
        <v/>
      </c>
      <c r="E72" s="807" t="n"/>
      <c r="F72" s="831" t="n"/>
      <c r="G72" s="807" t="n"/>
      <c r="H72" s="865">
        <f>IF($U72&lt;&gt;1,"",IF($E72="",N($D72),SUMIF($E$18:$E$77,$E72,$D$18:$D$77))*1000/(IF($V72="L2",N(Equipment!$B$30),Project!$B$29)*IF($V72="L2",1,SQRT(3))))</f>
        <v/>
      </c>
      <c r="I72" s="865">
        <f>IF(N($H72)=0,"",N($H72)*1.25)</f>
        <v/>
      </c>
      <c r="J72" s="865">
        <f>IF(N($I72)=0,"",IF(ISNUMBER(MATCH($I72,OCPD_LIST,0)),$I72,IF($I72&gt;MAX(OCPD_LIST),"ABOVE LIST",INDEX(OCPD_LIST,MATCH($I72,OCPD_LIST,1)+1))))</f>
        <v/>
      </c>
      <c r="K72" s="863">
        <f>IF(OR(N($I72)=0,$B$10=""),"",IF(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gt;ROWS(SZ_SIZE),"PARALLEL SETS",INDEX(SZ_SIZE,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f>
        <v/>
      </c>
      <c r="L72" s="807" t="n"/>
      <c r="M72" s="831" t="n"/>
      <c r="N72" s="865">
        <f>IF(OR(IF($L72&lt;&gt;"",$L72,$K72)="",IF($L72&lt;&gt;"",$L72,$K72)="PARALLEL SETS"),"",IFERROR(INDEX(SZ_AMP,MATCH(IF($L72&lt;&gt;"",$L72,$K72),SZ_SIZE,0))*IF(N($M72)&gt;0,N($M72),MAX(1,N(IFERROR(INDEX(SPEC_CIRC,MATCH(INDEX(Equipment!$C$7:$C$18,MAX(1,N($W72))),SPEC_SKU,0)),1)))),""))</f>
        <v/>
      </c>
      <c r="O72" s="866">
        <f>IF(OR(N($N72)=0,N($F72)=0),"",IFERROR(IF($V72="L2",2,SQRT(3))*N($H72)/IF(N($M72)&gt;0,N($M72),MAX(1,N(IFERROR(INDEX(SPEC_CIRC,MATCH(INDEX(Equipment!$C$7:$C$18,MAX(1,N($W72))),SPEC_SKU,0)),1))))*N($F72)*INDEX(SZ_Z,MATCH(IF($L72&lt;&gt;"",$L72,$K72),SZ_SIZE,0))/1000/IF($V72="L2",N(Equipment!$B$30),Project!$B$29),""))</f>
        <v/>
      </c>
      <c r="P72" s="863">
        <f>IF(N($J72)=0,"",IFERROR(INDEX(IF($B$6="Cu",EGC_CU,EGC_AL),MATCH($J72,EGC_OCPD,1)+IF(ISNUMBER(MATCH($J72,EGC_OCPD,0)),0,1)),""))</f>
        <v/>
      </c>
      <c r="Q72" s="863">
        <f>IF(N($N72)=0,"",IFERROR(INDEX(IF($V72="L2",CND_2G,CND_3G),MATCH(IF($L72&lt;&gt;"",$L72,$K72),CND_SIZE,0)),""))</f>
        <v/>
      </c>
      <c r="R72" s="807" t="n"/>
      <c r="S72" s="867">
        <f>IF(OR(N($F72)=0,N($N72)=0),0,IFERROR(N($F72)*IF(N($M72)&gt;0,N($M72),MAX(1,N(IFERROR(INDEX(SPEC_CIRC,MATCH(INDEX(Equipment!$C$7:$C$18,MAX(1,N($W72))),SPEC_SKU,0)),1))))*IF($V72="L2",2,3)*INDEX(IF($B$6="Cu",WIRE_CU,WIRE_AL),MATCH(IF($L72&lt;&gt;"",$L72,$K72),WIRE_SIZE,0)),0)+IFERROR(N($F72)*IF(N($M72)&gt;0,N($M72),MAX(1,N(IFERROR(INDEX(SPEC_CIRC,MATCH(INDEX(Equipment!$C$7:$C$18,MAX(1,N($W72))),SPEC_SKU,0)),1))))*INDEX(IF($B$6="Cu",WIRE_CU,WIRE_AL),MATCH($P72,WIRE_SIZE,0)),0)+IFERROR(N($F72)*IF(N($M72)&gt;0,N($M72),MAX(1,N(IFERROR(INDEX(SPEC_CIRC,MATCH(INDEX(Equipment!$C$7:$C$18,MAX(1,N($W72))),SPEC_SKU,0)),1))))*INDEX(PVC_RATE,MATCH(IF($R72&lt;&gt;"",$R72,$Q72),PVC_SIZE,0)),0)+IF($V72="L2",0,IFERROR(N($F72)*INDEX(PVC_RATE,MATCH("(3/4"")",PVC_SIZE,0)),0)))</f>
        <v/>
      </c>
      <c r="T72" s="863">
        <f>IF($W72="","",IF($U72=0,"shared — on circuit "&amp;$E72&amp;", sized and priced on its first unit",IF(N($F72)=0,"ENTER THE DISTANCE",IF($B$10="","SET THE DESIGN AMBIENT in block A — nothing on this row can be trusted until it is",IF(IF($L72&lt;&gt;"",$L72,$K72)="PARALLEL SETS","PARALLEL SETS NEEDED — no single conductor carries "&amp;TEXT(N($I72),"#,##0")&amp;" A within the drop allowance; enter sets in column M",IF(N($N72)=0,"no ampacity on file for the override size — NEC Table 310.16 does not list it",IF(N($N72)&lt;IF(N($J72)&gt;800,N($J72),N($I72)),"UNDERSIZED — "&amp;TEXT(N($N72),"#,##0")&amp;" A provided against a floor of "&amp;TEXT(IF(N($J72)&gt;800,N($J72),N($I72)),"#,##0")&amp;" A",IF(N($O72)&gt;$B$13,"ampacity OK but voltage drop "&amp;TEXT(N($O72),"0.0%")&amp;" exceeds the allowance — ADVISORY, upsize the override","OK — "&amp;IF(IF(N($M72)&gt;0,N($M72),MAX(1,N(IFERROR(INDEX(SPEC_CIRC,MATCH(INDEX(Equipment!$C$7:$C$18,MAX(1,N($W72))),SPEC_SKU,0)),1))))&gt;1,TEXT(IF(N($M72)&gt;0,N($M72),MAX(1,N(IFERROR(INDEX(SPEC_CIRC,MATCH(INDEX(Equipment!$C$7:$C$18,MAX(1,N($W72))),SPEC_SKU,0)),1)))),"0")&amp;" sets of ","")&amp;IF($L72&lt;&gt;"",$L72,$K72)&amp;IF($L72&lt;&gt;""," (override)","")&amp;", "&amp;TEXT(N($N72),"#,##0")&amp;" A against a "&amp;TEXT(IF(N($J72)&gt;800,N($J72),N($I72)),"#,##0")&amp;" A floor; drop "&amp;TEXT(N($O72),"0.0%")&amp;" (ADVISORY)"))))))))</f>
        <v/>
      </c>
      <c r="U72" s="868">
        <f>IF($W72="",0,IF($E72="",1,IF(MATCH($E72,$E$18:$E$77,0)=55,1,0)))</f>
        <v/>
      </c>
      <c r="V72" s="869">
        <f>IF($W72="","",IF(INDEX(Equipment!$E$7:$E$18,$W72)="level_2","L2",IF(INDEX(Equipment!$E$7:$E$18,$W72)="power_cabinet","CAB","DC")))</f>
        <v/>
      </c>
      <c r="W72" s="868">
        <f>IF(N($B$80)&gt;=55,COUNTIF(Equipment!$S$7:$S$18,"&lt;55")+1,"")</f>
        <v/>
      </c>
      <c r="X72" s="868">
        <f>IF($U72&lt;&gt;1,"",IF(N($M72)&gt;0,N($M72),MAX(1,N(IFERROR(INDEX(SPEC_CIRC,MATCH(INDEX(Equipment!$C$7:$C$18,MAX(1,N($W72))),SPEC_SKU,0)),1)))))</f>
        <v/>
      </c>
    </row>
    <row r="73" ht="16" customHeight="1" s="254">
      <c r="A73" s="862">
        <f>IF($W73="","","Charger 56")</f>
        <v/>
      </c>
      <c r="B73" s="863">
        <f>IF($W73="","","Line "&amp;$W73&amp;" · "&amp;INDEX(Equipment!$C$7:$C$18,$W73)&amp;" · "&amp;INDEX(Equipment!$B$7:$B$18,$W73)&amp;" · #"&amp;(56-INDEX(Equipment!$R$7:$R$18,$W73)+1)&amp;" of "&amp;INDEX(Equipment!$I$7:$I$18,$W73))</f>
        <v/>
      </c>
      <c r="C73" s="863">
        <f>IF($W73="","",IF($V73="L2",TEXT(N(Equipment!$B$30),"0")&amp;" V 1-ph",TEXT(Project!$B$29,"0")&amp;" V 3-ph"))</f>
        <v/>
      </c>
      <c r="D73" s="864">
        <f>IF($W73="","",INDEX(Equipment!$G$7:$G$18,$W73))</f>
        <v/>
      </c>
      <c r="E73" s="807" t="n"/>
      <c r="F73" s="831" t="n"/>
      <c r="G73" s="807" t="n"/>
      <c r="H73" s="865">
        <f>IF($U73&lt;&gt;1,"",IF($E73="",N($D73),SUMIF($E$18:$E$77,$E73,$D$18:$D$77))*1000/(IF($V73="L2",N(Equipment!$B$30),Project!$B$29)*IF($V73="L2",1,SQRT(3))))</f>
        <v/>
      </c>
      <c r="I73" s="865">
        <f>IF(N($H73)=0,"",N($H73)*1.25)</f>
        <v/>
      </c>
      <c r="J73" s="865">
        <f>IF(N($I73)=0,"",IF(ISNUMBER(MATCH($I73,OCPD_LIST,0)),$I73,IF($I73&gt;MAX(OCPD_LIST),"ABOVE LIST",INDEX(OCPD_LIST,MATCH($I73,OCPD_LIST,1)+1))))</f>
        <v/>
      </c>
      <c r="K73" s="863">
        <f>IF(OR(N($I73)=0,$B$10=""),"",IF(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gt;ROWS(SZ_SIZE),"PARALLEL SETS",INDEX(SZ_SIZE,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f>
        <v/>
      </c>
      <c r="L73" s="807" t="n"/>
      <c r="M73" s="831" t="n"/>
      <c r="N73" s="865">
        <f>IF(OR(IF($L73&lt;&gt;"",$L73,$K73)="",IF($L73&lt;&gt;"",$L73,$K73)="PARALLEL SETS"),"",IFERROR(INDEX(SZ_AMP,MATCH(IF($L73&lt;&gt;"",$L73,$K73),SZ_SIZE,0))*IF(N($M73)&gt;0,N($M73),MAX(1,N(IFERROR(INDEX(SPEC_CIRC,MATCH(INDEX(Equipment!$C$7:$C$18,MAX(1,N($W73))),SPEC_SKU,0)),1)))),""))</f>
        <v/>
      </c>
      <c r="O73" s="866">
        <f>IF(OR(N($N73)=0,N($F73)=0),"",IFERROR(IF($V73="L2",2,SQRT(3))*N($H73)/IF(N($M73)&gt;0,N($M73),MAX(1,N(IFERROR(INDEX(SPEC_CIRC,MATCH(INDEX(Equipment!$C$7:$C$18,MAX(1,N($W73))),SPEC_SKU,0)),1))))*N($F73)*INDEX(SZ_Z,MATCH(IF($L73&lt;&gt;"",$L73,$K73),SZ_SIZE,0))/1000/IF($V73="L2",N(Equipment!$B$30),Project!$B$29),""))</f>
        <v/>
      </c>
      <c r="P73" s="863">
        <f>IF(N($J73)=0,"",IFERROR(INDEX(IF($B$6="Cu",EGC_CU,EGC_AL),MATCH($J73,EGC_OCPD,1)+IF(ISNUMBER(MATCH($J73,EGC_OCPD,0)),0,1)),""))</f>
        <v/>
      </c>
      <c r="Q73" s="863">
        <f>IF(N($N73)=0,"",IFERROR(INDEX(IF($V73="L2",CND_2G,CND_3G),MATCH(IF($L73&lt;&gt;"",$L73,$K73),CND_SIZE,0)),""))</f>
        <v/>
      </c>
      <c r="R73" s="807" t="n"/>
      <c r="S73" s="867">
        <f>IF(OR(N($F73)=0,N($N73)=0),0,IFERROR(N($F73)*IF(N($M73)&gt;0,N($M73),MAX(1,N(IFERROR(INDEX(SPEC_CIRC,MATCH(INDEX(Equipment!$C$7:$C$18,MAX(1,N($W73))),SPEC_SKU,0)),1))))*IF($V73="L2",2,3)*INDEX(IF($B$6="Cu",WIRE_CU,WIRE_AL),MATCH(IF($L73&lt;&gt;"",$L73,$K73),WIRE_SIZE,0)),0)+IFERROR(N($F73)*IF(N($M73)&gt;0,N($M73),MAX(1,N(IFERROR(INDEX(SPEC_CIRC,MATCH(INDEX(Equipment!$C$7:$C$18,MAX(1,N($W73))),SPEC_SKU,0)),1))))*INDEX(IF($B$6="Cu",WIRE_CU,WIRE_AL),MATCH($P73,WIRE_SIZE,0)),0)+IFERROR(N($F73)*IF(N($M73)&gt;0,N($M73),MAX(1,N(IFERROR(INDEX(SPEC_CIRC,MATCH(INDEX(Equipment!$C$7:$C$18,MAX(1,N($W73))),SPEC_SKU,0)),1))))*INDEX(PVC_RATE,MATCH(IF($R73&lt;&gt;"",$R73,$Q73),PVC_SIZE,0)),0)+IF($V73="L2",0,IFERROR(N($F73)*INDEX(PVC_RATE,MATCH("(3/4"")",PVC_SIZE,0)),0)))</f>
        <v/>
      </c>
      <c r="T73" s="863">
        <f>IF($W73="","",IF($U73=0,"shared — on circuit "&amp;$E73&amp;", sized and priced on its first unit",IF(N($F73)=0,"ENTER THE DISTANCE",IF($B$10="","SET THE DESIGN AMBIENT in block A — nothing on this row can be trusted until it is",IF(IF($L73&lt;&gt;"",$L73,$K73)="PARALLEL SETS","PARALLEL SETS NEEDED — no single conductor carries "&amp;TEXT(N($I73),"#,##0")&amp;" A within the drop allowance; enter sets in column M",IF(N($N73)=0,"no ampacity on file for the override size — NEC Table 310.16 does not list it",IF(N($N73)&lt;IF(N($J73)&gt;800,N($J73),N($I73)),"UNDERSIZED — "&amp;TEXT(N($N73),"#,##0")&amp;" A provided against a floor of "&amp;TEXT(IF(N($J73)&gt;800,N($J73),N($I73)),"#,##0")&amp;" A",IF(N($O73)&gt;$B$13,"ampacity OK but voltage drop "&amp;TEXT(N($O73),"0.0%")&amp;" exceeds the allowance — ADVISORY, upsize the override","OK — "&amp;IF(IF(N($M73)&gt;0,N($M73),MAX(1,N(IFERROR(INDEX(SPEC_CIRC,MATCH(INDEX(Equipment!$C$7:$C$18,MAX(1,N($W73))),SPEC_SKU,0)),1))))&gt;1,TEXT(IF(N($M73)&gt;0,N($M73),MAX(1,N(IFERROR(INDEX(SPEC_CIRC,MATCH(INDEX(Equipment!$C$7:$C$18,MAX(1,N($W73))),SPEC_SKU,0)),1)))),"0")&amp;" sets of ","")&amp;IF($L73&lt;&gt;"",$L73,$K73)&amp;IF($L73&lt;&gt;""," (override)","")&amp;", "&amp;TEXT(N($N73),"#,##0")&amp;" A against a "&amp;TEXT(IF(N($J73)&gt;800,N($J73),N($I73)),"#,##0")&amp;" A floor; drop "&amp;TEXT(N($O73),"0.0%")&amp;" (ADVISORY)"))))))))</f>
        <v/>
      </c>
      <c r="U73" s="868">
        <f>IF($W73="",0,IF($E73="",1,IF(MATCH($E73,$E$18:$E$77,0)=56,1,0)))</f>
        <v/>
      </c>
      <c r="V73" s="869">
        <f>IF($W73="","",IF(INDEX(Equipment!$E$7:$E$18,$W73)="level_2","L2",IF(INDEX(Equipment!$E$7:$E$18,$W73)="power_cabinet","CAB","DC")))</f>
        <v/>
      </c>
      <c r="W73" s="868">
        <f>IF(N($B$80)&gt;=56,COUNTIF(Equipment!$S$7:$S$18,"&lt;56")+1,"")</f>
        <v/>
      </c>
      <c r="X73" s="868">
        <f>IF($U73&lt;&gt;1,"",IF(N($M73)&gt;0,N($M73),MAX(1,N(IFERROR(INDEX(SPEC_CIRC,MATCH(INDEX(Equipment!$C$7:$C$18,MAX(1,N($W73))),SPEC_SKU,0)),1)))))</f>
        <v/>
      </c>
    </row>
    <row r="74" ht="16" customHeight="1" s="254">
      <c r="A74" s="862">
        <f>IF($W74="","","Charger 57")</f>
        <v/>
      </c>
      <c r="B74" s="863">
        <f>IF($W74="","","Line "&amp;$W74&amp;" · "&amp;INDEX(Equipment!$C$7:$C$18,$W74)&amp;" · "&amp;INDEX(Equipment!$B$7:$B$18,$W74)&amp;" · #"&amp;(57-INDEX(Equipment!$R$7:$R$18,$W74)+1)&amp;" of "&amp;INDEX(Equipment!$I$7:$I$18,$W74))</f>
        <v/>
      </c>
      <c r="C74" s="863">
        <f>IF($W74="","",IF($V74="L2",TEXT(N(Equipment!$B$30),"0")&amp;" V 1-ph",TEXT(Project!$B$29,"0")&amp;" V 3-ph"))</f>
        <v/>
      </c>
      <c r="D74" s="864">
        <f>IF($W74="","",INDEX(Equipment!$G$7:$G$18,$W74))</f>
        <v/>
      </c>
      <c r="E74" s="807" t="n"/>
      <c r="F74" s="831" t="n"/>
      <c r="G74" s="807" t="n"/>
      <c r="H74" s="865">
        <f>IF($U74&lt;&gt;1,"",IF($E74="",N($D74),SUMIF($E$18:$E$77,$E74,$D$18:$D$77))*1000/(IF($V74="L2",N(Equipment!$B$30),Project!$B$29)*IF($V74="L2",1,SQRT(3))))</f>
        <v/>
      </c>
      <c r="I74" s="865">
        <f>IF(N($H74)=0,"",N($H74)*1.25)</f>
        <v/>
      </c>
      <c r="J74" s="865">
        <f>IF(N($I74)=0,"",IF(ISNUMBER(MATCH($I74,OCPD_LIST,0)),$I74,IF($I74&gt;MAX(OCPD_LIST),"ABOVE LIST",INDEX(OCPD_LIST,MATCH($I74,OCPD_LIST,1)+1))))</f>
        <v/>
      </c>
      <c r="K74" s="863">
        <f>IF(OR(N($I74)=0,$B$10=""),"",IF(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gt;ROWS(SZ_SIZE),"PARALLEL SETS",INDEX(SZ_SIZE,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f>
        <v/>
      </c>
      <c r="L74" s="807" t="n"/>
      <c r="M74" s="831" t="n"/>
      <c r="N74" s="865">
        <f>IF(OR(IF($L74&lt;&gt;"",$L74,$K74)="",IF($L74&lt;&gt;"",$L74,$K74)="PARALLEL SETS"),"",IFERROR(INDEX(SZ_AMP,MATCH(IF($L74&lt;&gt;"",$L74,$K74),SZ_SIZE,0))*IF(N($M74)&gt;0,N($M74),MAX(1,N(IFERROR(INDEX(SPEC_CIRC,MATCH(INDEX(Equipment!$C$7:$C$18,MAX(1,N($W74))),SPEC_SKU,0)),1)))),""))</f>
        <v/>
      </c>
      <c r="O74" s="866">
        <f>IF(OR(N($N74)=0,N($F74)=0),"",IFERROR(IF($V74="L2",2,SQRT(3))*N($H74)/IF(N($M74)&gt;0,N($M74),MAX(1,N(IFERROR(INDEX(SPEC_CIRC,MATCH(INDEX(Equipment!$C$7:$C$18,MAX(1,N($W74))),SPEC_SKU,0)),1))))*N($F74)*INDEX(SZ_Z,MATCH(IF($L74&lt;&gt;"",$L74,$K74),SZ_SIZE,0))/1000/IF($V74="L2",N(Equipment!$B$30),Project!$B$29),""))</f>
        <v/>
      </c>
      <c r="P74" s="863">
        <f>IF(N($J74)=0,"",IFERROR(INDEX(IF($B$6="Cu",EGC_CU,EGC_AL),MATCH($J74,EGC_OCPD,1)+IF(ISNUMBER(MATCH($J74,EGC_OCPD,0)),0,1)),""))</f>
        <v/>
      </c>
      <c r="Q74" s="863">
        <f>IF(N($N74)=0,"",IFERROR(INDEX(IF($V74="L2",CND_2G,CND_3G),MATCH(IF($L74&lt;&gt;"",$L74,$K74),CND_SIZE,0)),""))</f>
        <v/>
      </c>
      <c r="R74" s="807" t="n"/>
      <c r="S74" s="867">
        <f>IF(OR(N($F74)=0,N($N74)=0),0,IFERROR(N($F74)*IF(N($M74)&gt;0,N($M74),MAX(1,N(IFERROR(INDEX(SPEC_CIRC,MATCH(INDEX(Equipment!$C$7:$C$18,MAX(1,N($W74))),SPEC_SKU,0)),1))))*IF($V74="L2",2,3)*INDEX(IF($B$6="Cu",WIRE_CU,WIRE_AL),MATCH(IF($L74&lt;&gt;"",$L74,$K74),WIRE_SIZE,0)),0)+IFERROR(N($F74)*IF(N($M74)&gt;0,N($M74),MAX(1,N(IFERROR(INDEX(SPEC_CIRC,MATCH(INDEX(Equipment!$C$7:$C$18,MAX(1,N($W74))),SPEC_SKU,0)),1))))*INDEX(IF($B$6="Cu",WIRE_CU,WIRE_AL),MATCH($P74,WIRE_SIZE,0)),0)+IFERROR(N($F74)*IF(N($M74)&gt;0,N($M74),MAX(1,N(IFERROR(INDEX(SPEC_CIRC,MATCH(INDEX(Equipment!$C$7:$C$18,MAX(1,N($W74))),SPEC_SKU,0)),1))))*INDEX(PVC_RATE,MATCH(IF($R74&lt;&gt;"",$R74,$Q74),PVC_SIZE,0)),0)+IF($V74="L2",0,IFERROR(N($F74)*INDEX(PVC_RATE,MATCH("(3/4"")",PVC_SIZE,0)),0)))</f>
        <v/>
      </c>
      <c r="T74" s="863">
        <f>IF($W74="","",IF($U74=0,"shared — on circuit "&amp;$E74&amp;", sized and priced on its first unit",IF(N($F74)=0,"ENTER THE DISTANCE",IF($B$10="","SET THE DESIGN AMBIENT in block A — nothing on this row can be trusted until it is",IF(IF($L74&lt;&gt;"",$L74,$K74)="PARALLEL SETS","PARALLEL SETS NEEDED — no single conductor carries "&amp;TEXT(N($I74),"#,##0")&amp;" A within the drop allowance; enter sets in column M",IF(N($N74)=0,"no ampacity on file for the override size — NEC Table 310.16 does not list it",IF(N($N74)&lt;IF(N($J74)&gt;800,N($J74),N($I74)),"UNDERSIZED — "&amp;TEXT(N($N74),"#,##0")&amp;" A provided against a floor of "&amp;TEXT(IF(N($J74)&gt;800,N($J74),N($I74)),"#,##0")&amp;" A",IF(N($O74)&gt;$B$13,"ampacity OK but voltage drop "&amp;TEXT(N($O74),"0.0%")&amp;" exceeds the allowance — ADVISORY, upsize the override","OK — "&amp;IF(IF(N($M74)&gt;0,N($M74),MAX(1,N(IFERROR(INDEX(SPEC_CIRC,MATCH(INDEX(Equipment!$C$7:$C$18,MAX(1,N($W74))),SPEC_SKU,0)),1))))&gt;1,TEXT(IF(N($M74)&gt;0,N($M74),MAX(1,N(IFERROR(INDEX(SPEC_CIRC,MATCH(INDEX(Equipment!$C$7:$C$18,MAX(1,N($W74))),SPEC_SKU,0)),1)))),"0")&amp;" sets of ","")&amp;IF($L74&lt;&gt;"",$L74,$K74)&amp;IF($L74&lt;&gt;""," (override)","")&amp;", "&amp;TEXT(N($N74),"#,##0")&amp;" A against a "&amp;TEXT(IF(N($J74)&gt;800,N($J74),N($I74)),"#,##0")&amp;" A floor; drop "&amp;TEXT(N($O74),"0.0%")&amp;" (ADVISORY)"))))))))</f>
        <v/>
      </c>
      <c r="U74" s="868">
        <f>IF($W74="",0,IF($E74="",1,IF(MATCH($E74,$E$18:$E$77,0)=57,1,0)))</f>
        <v/>
      </c>
      <c r="V74" s="869">
        <f>IF($W74="","",IF(INDEX(Equipment!$E$7:$E$18,$W74)="level_2","L2",IF(INDEX(Equipment!$E$7:$E$18,$W74)="power_cabinet","CAB","DC")))</f>
        <v/>
      </c>
      <c r="W74" s="868">
        <f>IF(N($B$80)&gt;=57,COUNTIF(Equipment!$S$7:$S$18,"&lt;57")+1,"")</f>
        <v/>
      </c>
      <c r="X74" s="868">
        <f>IF($U74&lt;&gt;1,"",IF(N($M74)&gt;0,N($M74),MAX(1,N(IFERROR(INDEX(SPEC_CIRC,MATCH(INDEX(Equipment!$C$7:$C$18,MAX(1,N($W74))),SPEC_SKU,0)),1)))))</f>
        <v/>
      </c>
    </row>
    <row r="75" ht="16" customHeight="1" s="254">
      <c r="A75" s="862">
        <f>IF($W75="","","Charger 58")</f>
        <v/>
      </c>
      <c r="B75" s="863">
        <f>IF($W75="","","Line "&amp;$W75&amp;" · "&amp;INDEX(Equipment!$C$7:$C$18,$W75)&amp;" · "&amp;INDEX(Equipment!$B$7:$B$18,$W75)&amp;" · #"&amp;(58-INDEX(Equipment!$R$7:$R$18,$W75)+1)&amp;" of "&amp;INDEX(Equipment!$I$7:$I$18,$W75))</f>
        <v/>
      </c>
      <c r="C75" s="863">
        <f>IF($W75="","",IF($V75="L2",TEXT(N(Equipment!$B$30),"0")&amp;" V 1-ph",TEXT(Project!$B$29,"0")&amp;" V 3-ph"))</f>
        <v/>
      </c>
      <c r="D75" s="864">
        <f>IF($W75="","",INDEX(Equipment!$G$7:$G$18,$W75))</f>
        <v/>
      </c>
      <c r="E75" s="807" t="n"/>
      <c r="F75" s="831" t="n"/>
      <c r="G75" s="807" t="n"/>
      <c r="H75" s="865">
        <f>IF($U75&lt;&gt;1,"",IF($E75="",N($D75),SUMIF($E$18:$E$77,$E75,$D$18:$D$77))*1000/(IF($V75="L2",N(Equipment!$B$30),Project!$B$29)*IF($V75="L2",1,SQRT(3))))</f>
        <v/>
      </c>
      <c r="I75" s="865">
        <f>IF(N($H75)=0,"",N($H75)*1.25)</f>
        <v/>
      </c>
      <c r="J75" s="865">
        <f>IF(N($I75)=0,"",IF(ISNUMBER(MATCH($I75,OCPD_LIST,0)),$I75,IF($I75&gt;MAX(OCPD_LIST),"ABOVE LIST",INDEX(OCPD_LIST,MATCH($I75,OCPD_LIST,1)+1))))</f>
        <v/>
      </c>
      <c r="K75" s="863">
        <f>IF(OR(N($I75)=0,$B$10=""),"",IF(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gt;ROWS(SZ_SIZE),"PARALLEL SETS",INDEX(SZ_SIZE,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f>
        <v/>
      </c>
      <c r="L75" s="807" t="n"/>
      <c r="M75" s="831" t="n"/>
      <c r="N75" s="865">
        <f>IF(OR(IF($L75&lt;&gt;"",$L75,$K75)="",IF($L75&lt;&gt;"",$L75,$K75)="PARALLEL SETS"),"",IFERROR(INDEX(SZ_AMP,MATCH(IF($L75&lt;&gt;"",$L75,$K75),SZ_SIZE,0))*IF(N($M75)&gt;0,N($M75),MAX(1,N(IFERROR(INDEX(SPEC_CIRC,MATCH(INDEX(Equipment!$C$7:$C$18,MAX(1,N($W75))),SPEC_SKU,0)),1)))),""))</f>
        <v/>
      </c>
      <c r="O75" s="866">
        <f>IF(OR(N($N75)=0,N($F75)=0),"",IFERROR(IF($V75="L2",2,SQRT(3))*N($H75)/IF(N($M75)&gt;0,N($M75),MAX(1,N(IFERROR(INDEX(SPEC_CIRC,MATCH(INDEX(Equipment!$C$7:$C$18,MAX(1,N($W75))),SPEC_SKU,0)),1))))*N($F75)*INDEX(SZ_Z,MATCH(IF($L75&lt;&gt;"",$L75,$K75),SZ_SIZE,0))/1000/IF($V75="L2",N(Equipment!$B$30),Project!$B$29),""))</f>
        <v/>
      </c>
      <c r="P75" s="863">
        <f>IF(N($J75)=0,"",IFERROR(INDEX(IF($B$6="Cu",EGC_CU,EGC_AL),MATCH($J75,EGC_OCPD,1)+IF(ISNUMBER(MATCH($J75,EGC_OCPD,0)),0,1)),""))</f>
        <v/>
      </c>
      <c r="Q75" s="863">
        <f>IF(N($N75)=0,"",IFERROR(INDEX(IF($V75="L2",CND_2G,CND_3G),MATCH(IF($L75&lt;&gt;"",$L75,$K75),CND_SIZE,0)),""))</f>
        <v/>
      </c>
      <c r="R75" s="807" t="n"/>
      <c r="S75" s="867">
        <f>IF(OR(N($F75)=0,N($N75)=0),0,IFERROR(N($F75)*IF(N($M75)&gt;0,N($M75),MAX(1,N(IFERROR(INDEX(SPEC_CIRC,MATCH(INDEX(Equipment!$C$7:$C$18,MAX(1,N($W75))),SPEC_SKU,0)),1))))*IF($V75="L2",2,3)*INDEX(IF($B$6="Cu",WIRE_CU,WIRE_AL),MATCH(IF($L75&lt;&gt;"",$L75,$K75),WIRE_SIZE,0)),0)+IFERROR(N($F75)*IF(N($M75)&gt;0,N($M75),MAX(1,N(IFERROR(INDEX(SPEC_CIRC,MATCH(INDEX(Equipment!$C$7:$C$18,MAX(1,N($W75))),SPEC_SKU,0)),1))))*INDEX(IF($B$6="Cu",WIRE_CU,WIRE_AL),MATCH($P75,WIRE_SIZE,0)),0)+IFERROR(N($F75)*IF(N($M75)&gt;0,N($M75),MAX(1,N(IFERROR(INDEX(SPEC_CIRC,MATCH(INDEX(Equipment!$C$7:$C$18,MAX(1,N($W75))),SPEC_SKU,0)),1))))*INDEX(PVC_RATE,MATCH(IF($R75&lt;&gt;"",$R75,$Q75),PVC_SIZE,0)),0)+IF($V75="L2",0,IFERROR(N($F75)*INDEX(PVC_RATE,MATCH("(3/4"")",PVC_SIZE,0)),0)))</f>
        <v/>
      </c>
      <c r="T75" s="863">
        <f>IF($W75="","",IF($U75=0,"shared — on circuit "&amp;$E75&amp;", sized and priced on its first unit",IF(N($F75)=0,"ENTER THE DISTANCE",IF($B$10="","SET THE DESIGN AMBIENT in block A — nothing on this row can be trusted until it is",IF(IF($L75&lt;&gt;"",$L75,$K75)="PARALLEL SETS","PARALLEL SETS NEEDED — no single conductor carries "&amp;TEXT(N($I75),"#,##0")&amp;" A within the drop allowance; enter sets in column M",IF(N($N75)=0,"no ampacity on file for the override size — NEC Table 310.16 does not list it",IF(N($N75)&lt;IF(N($J75)&gt;800,N($J75),N($I75)),"UNDERSIZED — "&amp;TEXT(N($N75),"#,##0")&amp;" A provided against a floor of "&amp;TEXT(IF(N($J75)&gt;800,N($J75),N($I75)),"#,##0")&amp;" A",IF(N($O75)&gt;$B$13,"ampacity OK but voltage drop "&amp;TEXT(N($O75),"0.0%")&amp;" exceeds the allowance — ADVISORY, upsize the override","OK — "&amp;IF(IF(N($M75)&gt;0,N($M75),MAX(1,N(IFERROR(INDEX(SPEC_CIRC,MATCH(INDEX(Equipment!$C$7:$C$18,MAX(1,N($W75))),SPEC_SKU,0)),1))))&gt;1,TEXT(IF(N($M75)&gt;0,N($M75),MAX(1,N(IFERROR(INDEX(SPEC_CIRC,MATCH(INDEX(Equipment!$C$7:$C$18,MAX(1,N($W75))),SPEC_SKU,0)),1)))),"0")&amp;" sets of ","")&amp;IF($L75&lt;&gt;"",$L75,$K75)&amp;IF($L75&lt;&gt;""," (override)","")&amp;", "&amp;TEXT(N($N75),"#,##0")&amp;" A against a "&amp;TEXT(IF(N($J75)&gt;800,N($J75),N($I75)),"#,##0")&amp;" A floor; drop "&amp;TEXT(N($O75),"0.0%")&amp;" (ADVISORY)"))))))))</f>
        <v/>
      </c>
      <c r="U75" s="868">
        <f>IF($W75="",0,IF($E75="",1,IF(MATCH($E75,$E$18:$E$77,0)=58,1,0)))</f>
        <v/>
      </c>
      <c r="V75" s="869">
        <f>IF($W75="","",IF(INDEX(Equipment!$E$7:$E$18,$W75)="level_2","L2",IF(INDEX(Equipment!$E$7:$E$18,$W75)="power_cabinet","CAB","DC")))</f>
        <v/>
      </c>
      <c r="W75" s="868">
        <f>IF(N($B$80)&gt;=58,COUNTIF(Equipment!$S$7:$S$18,"&lt;58")+1,"")</f>
        <v/>
      </c>
      <c r="X75" s="868">
        <f>IF($U75&lt;&gt;1,"",IF(N($M75)&gt;0,N($M75),MAX(1,N(IFERROR(INDEX(SPEC_CIRC,MATCH(INDEX(Equipment!$C$7:$C$18,MAX(1,N($W75))),SPEC_SKU,0)),1)))))</f>
        <v/>
      </c>
    </row>
    <row r="76" ht="16" customHeight="1" s="254">
      <c r="A76" s="862">
        <f>IF($W76="","","Charger 59")</f>
        <v/>
      </c>
      <c r="B76" s="863">
        <f>IF($W76="","","Line "&amp;$W76&amp;" · "&amp;INDEX(Equipment!$C$7:$C$18,$W76)&amp;" · "&amp;INDEX(Equipment!$B$7:$B$18,$W76)&amp;" · #"&amp;(59-INDEX(Equipment!$R$7:$R$18,$W76)+1)&amp;" of "&amp;INDEX(Equipment!$I$7:$I$18,$W76))</f>
        <v/>
      </c>
      <c r="C76" s="863">
        <f>IF($W76="","",IF($V76="L2",TEXT(N(Equipment!$B$30),"0")&amp;" V 1-ph",TEXT(Project!$B$29,"0")&amp;" V 3-ph"))</f>
        <v/>
      </c>
      <c r="D76" s="864">
        <f>IF($W76="","",INDEX(Equipment!$G$7:$G$18,$W76))</f>
        <v/>
      </c>
      <c r="E76" s="807" t="n"/>
      <c r="F76" s="831" t="n"/>
      <c r="G76" s="807" t="n"/>
      <c r="H76" s="865">
        <f>IF($U76&lt;&gt;1,"",IF($E76="",N($D76),SUMIF($E$18:$E$77,$E76,$D$18:$D$77))*1000/(IF($V76="L2",N(Equipment!$B$30),Project!$B$29)*IF($V76="L2",1,SQRT(3))))</f>
        <v/>
      </c>
      <c r="I76" s="865">
        <f>IF(N($H76)=0,"",N($H76)*1.25)</f>
        <v/>
      </c>
      <c r="J76" s="865">
        <f>IF(N($I76)=0,"",IF(ISNUMBER(MATCH($I76,OCPD_LIST,0)),$I76,IF($I76&gt;MAX(OCPD_LIST),"ABOVE LIST",INDEX(OCPD_LIST,MATCH($I76,OCPD_LIST,1)+1))))</f>
        <v/>
      </c>
      <c r="K76" s="863">
        <f>IF(OR(N($I76)=0,$B$10=""),"",IF(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gt;ROWS(SZ_SIZE),"PARALLEL SETS",INDEX(SZ_SIZE,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f>
        <v/>
      </c>
      <c r="L76" s="807" t="n"/>
      <c r="M76" s="831" t="n"/>
      <c r="N76" s="865">
        <f>IF(OR(IF($L76&lt;&gt;"",$L76,$K76)="",IF($L76&lt;&gt;"",$L76,$K76)="PARALLEL SETS"),"",IFERROR(INDEX(SZ_AMP,MATCH(IF($L76&lt;&gt;"",$L76,$K76),SZ_SIZE,0))*IF(N($M76)&gt;0,N($M76),MAX(1,N(IFERROR(INDEX(SPEC_CIRC,MATCH(INDEX(Equipment!$C$7:$C$18,MAX(1,N($W76))),SPEC_SKU,0)),1)))),""))</f>
        <v/>
      </c>
      <c r="O76" s="866">
        <f>IF(OR(N($N76)=0,N($F76)=0),"",IFERROR(IF($V76="L2",2,SQRT(3))*N($H76)/IF(N($M76)&gt;0,N($M76),MAX(1,N(IFERROR(INDEX(SPEC_CIRC,MATCH(INDEX(Equipment!$C$7:$C$18,MAX(1,N($W76))),SPEC_SKU,0)),1))))*N($F76)*INDEX(SZ_Z,MATCH(IF($L76&lt;&gt;"",$L76,$K76),SZ_SIZE,0))/1000/IF($V76="L2",N(Equipment!$B$30),Project!$B$29),""))</f>
        <v/>
      </c>
      <c r="P76" s="863">
        <f>IF(N($J76)=0,"",IFERROR(INDEX(IF($B$6="Cu",EGC_CU,EGC_AL),MATCH($J76,EGC_OCPD,1)+IF(ISNUMBER(MATCH($J76,EGC_OCPD,0)),0,1)),""))</f>
        <v/>
      </c>
      <c r="Q76" s="863">
        <f>IF(N($N76)=0,"",IFERROR(INDEX(IF($V76="L2",CND_2G,CND_3G),MATCH(IF($L76&lt;&gt;"",$L76,$K76),CND_SIZE,0)),""))</f>
        <v/>
      </c>
      <c r="R76" s="807" t="n"/>
      <c r="S76" s="867">
        <f>IF(OR(N($F76)=0,N($N76)=0),0,IFERROR(N($F76)*IF(N($M76)&gt;0,N($M76),MAX(1,N(IFERROR(INDEX(SPEC_CIRC,MATCH(INDEX(Equipment!$C$7:$C$18,MAX(1,N($W76))),SPEC_SKU,0)),1))))*IF($V76="L2",2,3)*INDEX(IF($B$6="Cu",WIRE_CU,WIRE_AL),MATCH(IF($L76&lt;&gt;"",$L76,$K76),WIRE_SIZE,0)),0)+IFERROR(N($F76)*IF(N($M76)&gt;0,N($M76),MAX(1,N(IFERROR(INDEX(SPEC_CIRC,MATCH(INDEX(Equipment!$C$7:$C$18,MAX(1,N($W76))),SPEC_SKU,0)),1))))*INDEX(IF($B$6="Cu",WIRE_CU,WIRE_AL),MATCH($P76,WIRE_SIZE,0)),0)+IFERROR(N($F76)*IF(N($M76)&gt;0,N($M76),MAX(1,N(IFERROR(INDEX(SPEC_CIRC,MATCH(INDEX(Equipment!$C$7:$C$18,MAX(1,N($W76))),SPEC_SKU,0)),1))))*INDEX(PVC_RATE,MATCH(IF($R76&lt;&gt;"",$R76,$Q76),PVC_SIZE,0)),0)+IF($V76="L2",0,IFERROR(N($F76)*INDEX(PVC_RATE,MATCH("(3/4"")",PVC_SIZE,0)),0)))</f>
        <v/>
      </c>
      <c r="T76" s="863">
        <f>IF($W76="","",IF($U76=0,"shared — on circuit "&amp;$E76&amp;", sized and priced on its first unit",IF(N($F76)=0,"ENTER THE DISTANCE",IF($B$10="","SET THE DESIGN AMBIENT in block A — nothing on this row can be trusted until it is",IF(IF($L76&lt;&gt;"",$L76,$K76)="PARALLEL SETS","PARALLEL SETS NEEDED — no single conductor carries "&amp;TEXT(N($I76),"#,##0")&amp;" A within the drop allowance; enter sets in column M",IF(N($N76)=0,"no ampacity on file for the override size — NEC Table 310.16 does not list it",IF(N($N76)&lt;IF(N($J76)&gt;800,N($J76),N($I76)),"UNDERSIZED — "&amp;TEXT(N($N76),"#,##0")&amp;" A provided against a floor of "&amp;TEXT(IF(N($J76)&gt;800,N($J76),N($I76)),"#,##0")&amp;" A",IF(N($O76)&gt;$B$13,"ampacity OK but voltage drop "&amp;TEXT(N($O76),"0.0%")&amp;" exceeds the allowance — ADVISORY, upsize the override","OK — "&amp;IF(IF(N($M76)&gt;0,N($M76),MAX(1,N(IFERROR(INDEX(SPEC_CIRC,MATCH(INDEX(Equipment!$C$7:$C$18,MAX(1,N($W76))),SPEC_SKU,0)),1))))&gt;1,TEXT(IF(N($M76)&gt;0,N($M76),MAX(1,N(IFERROR(INDEX(SPEC_CIRC,MATCH(INDEX(Equipment!$C$7:$C$18,MAX(1,N($W76))),SPEC_SKU,0)),1)))),"0")&amp;" sets of ","")&amp;IF($L76&lt;&gt;"",$L76,$K76)&amp;IF($L76&lt;&gt;""," (override)","")&amp;", "&amp;TEXT(N($N76),"#,##0")&amp;" A against a "&amp;TEXT(IF(N($J76)&gt;800,N($J76),N($I76)),"#,##0")&amp;" A floor; drop "&amp;TEXT(N($O76),"0.0%")&amp;" (ADVISORY)"))))))))</f>
        <v/>
      </c>
      <c r="U76" s="868">
        <f>IF($W76="",0,IF($E76="",1,IF(MATCH($E76,$E$18:$E$77,0)=59,1,0)))</f>
        <v/>
      </c>
      <c r="V76" s="869">
        <f>IF($W76="","",IF(INDEX(Equipment!$E$7:$E$18,$W76)="level_2","L2",IF(INDEX(Equipment!$E$7:$E$18,$W76)="power_cabinet","CAB","DC")))</f>
        <v/>
      </c>
      <c r="W76" s="868">
        <f>IF(N($B$80)&gt;=59,COUNTIF(Equipment!$S$7:$S$18,"&lt;59")+1,"")</f>
        <v/>
      </c>
      <c r="X76" s="868">
        <f>IF($U76&lt;&gt;1,"",IF(N($M76)&gt;0,N($M76),MAX(1,N(IFERROR(INDEX(SPEC_CIRC,MATCH(INDEX(Equipment!$C$7:$C$18,MAX(1,N($W76))),SPEC_SKU,0)),1)))))</f>
        <v/>
      </c>
    </row>
    <row r="77" ht="16" customHeight="1" s="254">
      <c r="A77" s="862">
        <f>IF($W77="","","Charger 60")</f>
        <v/>
      </c>
      <c r="B77" s="863">
        <f>IF($W77="","","Line "&amp;$W77&amp;" · "&amp;INDEX(Equipment!$C$7:$C$18,$W77)&amp;" · "&amp;INDEX(Equipment!$B$7:$B$18,$W77)&amp;" · #"&amp;(60-INDEX(Equipment!$R$7:$R$18,$W77)+1)&amp;" of "&amp;INDEX(Equipment!$I$7:$I$18,$W77))</f>
        <v/>
      </c>
      <c r="C77" s="863">
        <f>IF($W77="","",IF($V77="L2",TEXT(N(Equipment!$B$30),"0")&amp;" V 1-ph",TEXT(Project!$B$29,"0")&amp;" V 3-ph"))</f>
        <v/>
      </c>
      <c r="D77" s="864">
        <f>IF($W77="","",INDEX(Equipment!$G$7:$G$18,$W77))</f>
        <v/>
      </c>
      <c r="E77" s="807" t="n"/>
      <c r="F77" s="831" t="n"/>
      <c r="G77" s="807" t="n"/>
      <c r="H77" s="865">
        <f>IF($U77&lt;&gt;1,"",IF($E77="",N($D77),SUMIF($E$18:$E$77,$E77,$D$18:$D$77))*1000/(IF($V77="L2",N(Equipment!$B$30),Project!$B$29)*IF($V77="L2",1,SQRT(3))))</f>
        <v/>
      </c>
      <c r="I77" s="865">
        <f>IF(N($H77)=0,"",N($H77)*1.25)</f>
        <v/>
      </c>
      <c r="J77" s="865">
        <f>IF(N($I77)=0,"",IF(ISNUMBER(MATCH($I77,OCPD_LIST,0)),$I77,IF($I77&gt;MAX(OCPD_LIST),"ABOVE LIST",INDEX(OCPD_LIST,MATCH($I77,OCPD_LIST,1)+1))))</f>
        <v/>
      </c>
      <c r="K77" s="863">
        <f>IF(OR(N($I77)=0,$B$10=""),"",IF(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gt;ROWS(SZ_SIZE),"PARALLEL SETS",INDEX(SZ_SIZE,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f>
        <v/>
      </c>
      <c r="L77" s="807" t="n"/>
      <c r="M77" s="831" t="n"/>
      <c r="N77" s="865">
        <f>IF(OR(IF($L77&lt;&gt;"",$L77,$K77)="",IF($L77&lt;&gt;"",$L77,$K77)="PARALLEL SETS"),"",IFERROR(INDEX(SZ_AMP,MATCH(IF($L77&lt;&gt;"",$L77,$K77),SZ_SIZE,0))*IF(N($M77)&gt;0,N($M77),MAX(1,N(IFERROR(INDEX(SPEC_CIRC,MATCH(INDEX(Equipment!$C$7:$C$18,MAX(1,N($W77))),SPEC_SKU,0)),1)))),""))</f>
        <v/>
      </c>
      <c r="O77" s="866">
        <f>IF(OR(N($N77)=0,N($F77)=0),"",IFERROR(IF($V77="L2",2,SQRT(3))*N($H77)/IF(N($M77)&gt;0,N($M77),MAX(1,N(IFERROR(INDEX(SPEC_CIRC,MATCH(INDEX(Equipment!$C$7:$C$18,MAX(1,N($W77))),SPEC_SKU,0)),1))))*N($F77)*INDEX(SZ_Z,MATCH(IF($L77&lt;&gt;"",$L77,$K77),SZ_SIZE,0))/1000/IF($V77="L2",N(Equipment!$B$30),Project!$B$29),""))</f>
        <v/>
      </c>
      <c r="P77" s="863">
        <f>IF(N($J77)=0,"",IFERROR(INDEX(IF($B$6="Cu",EGC_CU,EGC_AL),MATCH($J77,EGC_OCPD,1)+IF(ISNUMBER(MATCH($J77,EGC_OCPD,0)),0,1)),""))</f>
        <v/>
      </c>
      <c r="Q77" s="863">
        <f>IF(N($N77)=0,"",IFERROR(INDEX(IF($V77="L2",CND_2G,CND_3G),MATCH(IF($L77&lt;&gt;"",$L77,$K77),CND_SIZE,0)),""))</f>
        <v/>
      </c>
      <c r="R77" s="807" t="n"/>
      <c r="S77" s="867">
        <f>IF(OR(N($F77)=0,N($N77)=0),0,IFERROR(N($F77)*IF(N($M77)&gt;0,N($M77),MAX(1,N(IFERROR(INDEX(SPEC_CIRC,MATCH(INDEX(Equipment!$C$7:$C$18,MAX(1,N($W77))),SPEC_SKU,0)),1))))*IF($V77="L2",2,3)*INDEX(IF($B$6="Cu",WIRE_CU,WIRE_AL),MATCH(IF($L77&lt;&gt;"",$L77,$K77),WIRE_SIZE,0)),0)+IFERROR(N($F77)*IF(N($M77)&gt;0,N($M77),MAX(1,N(IFERROR(INDEX(SPEC_CIRC,MATCH(INDEX(Equipment!$C$7:$C$18,MAX(1,N($W77))),SPEC_SKU,0)),1))))*INDEX(IF($B$6="Cu",WIRE_CU,WIRE_AL),MATCH($P77,WIRE_SIZE,0)),0)+IFERROR(N($F77)*IF(N($M77)&gt;0,N($M77),MAX(1,N(IFERROR(INDEX(SPEC_CIRC,MATCH(INDEX(Equipment!$C$7:$C$18,MAX(1,N($W77))),SPEC_SKU,0)),1))))*INDEX(PVC_RATE,MATCH(IF($R77&lt;&gt;"",$R77,$Q77),PVC_SIZE,0)),0)+IF($V77="L2",0,IFERROR(N($F77)*INDEX(PVC_RATE,MATCH("(3/4"")",PVC_SIZE,0)),0)))</f>
        <v/>
      </c>
      <c r="T77" s="863">
        <f>IF($W77="","",IF($U77=0,"shared — on circuit "&amp;$E77&amp;", sized and priced on its first unit",IF(N($F77)=0,"ENTER THE DISTANCE",IF($B$10="","SET THE DESIGN AMBIENT in block A — nothing on this row can be trusted until it is",IF(IF($L77&lt;&gt;"",$L77,$K77)="PARALLEL SETS","PARALLEL SETS NEEDED — no single conductor carries "&amp;TEXT(N($I77),"#,##0")&amp;" A within the drop allowance; enter sets in column M",IF(N($N77)=0,"no ampacity on file for the override size — NEC Table 310.16 does not list it",IF(N($N77)&lt;IF(N($J77)&gt;800,N($J77),N($I77)),"UNDERSIZED — "&amp;TEXT(N($N77),"#,##0")&amp;" A provided against a floor of "&amp;TEXT(IF(N($J77)&gt;800,N($J77),N($I77)),"#,##0")&amp;" A",IF(N($O77)&gt;$B$13,"ampacity OK but voltage drop "&amp;TEXT(N($O77),"0.0%")&amp;" exceeds the allowance — ADVISORY, upsize the override","OK — "&amp;IF(IF(N($M77)&gt;0,N($M77),MAX(1,N(IFERROR(INDEX(SPEC_CIRC,MATCH(INDEX(Equipment!$C$7:$C$18,MAX(1,N($W77))),SPEC_SKU,0)),1))))&gt;1,TEXT(IF(N($M77)&gt;0,N($M77),MAX(1,N(IFERROR(INDEX(SPEC_CIRC,MATCH(INDEX(Equipment!$C$7:$C$18,MAX(1,N($W77))),SPEC_SKU,0)),1)))),"0")&amp;" sets of ","")&amp;IF($L77&lt;&gt;"",$L77,$K77)&amp;IF($L77&lt;&gt;""," (override)","")&amp;", "&amp;TEXT(N($N77),"#,##0")&amp;" A against a "&amp;TEXT(IF(N($J77)&gt;800,N($J77),N($I77)),"#,##0")&amp;" A floor; drop "&amp;TEXT(N($O77),"0.0%")&amp;" (ADVISORY)"))))))))</f>
        <v/>
      </c>
      <c r="U77" s="868">
        <f>IF($W77="",0,IF($E77="",1,IF(MATCH($E77,$E$18:$E$77,0)=60,1,0)))</f>
        <v/>
      </c>
      <c r="V77" s="869">
        <f>IF($W77="","",IF(INDEX(Equipment!$E$7:$E$18,$W77)="level_2","L2",IF(INDEX(Equipment!$E$7:$E$18,$W77)="power_cabinet","CAB","DC")))</f>
        <v/>
      </c>
      <c r="W77" s="868">
        <f>IF(N($B$80)&gt;=60,COUNTIF(Equipment!$S$7:$S$18,"&lt;60")+1,"")</f>
        <v/>
      </c>
      <c r="X77" s="868">
        <f>IF($U77&lt;&gt;1,"",IF(N($M77)&gt;0,N($M77),MAX(1,N(IFERROR(INDEX(SPEC_CIRC,MATCH(INDEX(Equipment!$C$7:$C$18,MAX(1,N($W77))),SPEC_SKU,0)),1)))))</f>
        <v/>
      </c>
    </row>
    <row r="78" ht="16" customHeight="1" s="254">
      <c r="A78" s="811" t="n"/>
      <c r="B78" s="804" t="n"/>
      <c r="C78" s="804" t="n"/>
      <c r="D78" s="804" t="n"/>
      <c r="E78" s="804" t="n"/>
      <c r="F78" s="804" t="n"/>
      <c r="G78" s="804" t="n"/>
      <c r="H78" s="804" t="n"/>
      <c r="I78" s="804" t="n"/>
      <c r="J78" s="804" t="n"/>
      <c r="K78" s="804" t="n"/>
      <c r="L78" s="804" t="n"/>
      <c r="M78" s="804" t="n"/>
      <c r="N78" s="804" t="n"/>
      <c r="O78" s="804" t="n"/>
      <c r="P78" s="804" t="n"/>
      <c r="Q78" s="804" t="n"/>
      <c r="R78" s="804" t="n"/>
      <c r="S78" s="804" t="n"/>
      <c r="T78" s="804" t="n"/>
      <c r="U78" s="804" t="n"/>
      <c r="V78" s="804" t="n"/>
      <c r="W78" s="804" t="n"/>
      <c r="X78" s="804" t="n"/>
    </row>
    <row r="79" ht="19.75" customHeight="1" s="254">
      <c r="A79" s="798" t="inlineStr">
        <is>
          <t>Charger runs — totals and checks</t>
        </is>
      </c>
      <c r="I79" s="804" t="n"/>
      <c r="J79" s="804" t="n"/>
      <c r="K79" s="804" t="n"/>
      <c r="L79" s="804" t="n"/>
      <c r="M79" s="804" t="n"/>
      <c r="N79" s="804" t="n"/>
      <c r="O79" s="804" t="n"/>
      <c r="P79" s="804" t="n"/>
      <c r="Q79" s="804" t="n"/>
      <c r="R79" s="804" t="n"/>
      <c r="S79" s="804" t="n"/>
      <c r="T79" s="804" t="n"/>
      <c r="U79" s="804" t="n"/>
      <c r="V79" s="804" t="n"/>
      <c r="W79" s="804" t="n"/>
      <c r="X79" s="804" t="n"/>
    </row>
    <row r="80" hidden="1" outlineLevel="1" ht="31" customHeight="1" s="254">
      <c r="A80" s="781" t="inlineStr">
        <is>
          <t>Chargers on the schedule</t>
        </is>
      </c>
      <c r="B80" s="809">
        <f>SUM(Equipment!$Q$7:$Q$18)</f>
        <v/>
      </c>
      <c r="C80" s="814" t="inlineStr">
        <is>
          <t>Every unit that takes a feeder or a branch: standalone DC chargers, power cabinets and Level 2 units. Dispensers are not among them.</t>
        </is>
      </c>
      <c r="I80" s="804" t="n"/>
      <c r="J80" s="804" t="n"/>
      <c r="K80" s="804" t="n"/>
      <c r="L80" s="804" t="n"/>
      <c r="M80" s="804" t="n"/>
      <c r="N80" s="804" t="n"/>
      <c r="O80" s="804" t="n"/>
      <c r="P80" s="804" t="n"/>
      <c r="Q80" s="804" t="n"/>
      <c r="R80" s="804" t="n"/>
      <c r="S80" s="804" t="n"/>
      <c r="T80" s="804" t="n"/>
      <c r="U80" s="804" t="n"/>
      <c r="V80" s="804" t="n"/>
      <c r="W80" s="804" t="n"/>
      <c r="X80" s="804" t="n"/>
    </row>
    <row r="81" hidden="1" outlineLevel="1" ht="16" customHeight="1" s="254">
      <c r="A81" s="781" t="inlineStr">
        <is>
          <t>Runs still needing a distance</t>
        </is>
      </c>
      <c r="B81" s="809">
        <f>SUMPRODUCT(($U$18:$U$77=1)*($F$18:$F$77=""))</f>
        <v/>
      </c>
      <c r="C81" s="814" t="inlineStr">
        <is>
          <t>Rows that own a circuit and have no distance yet.</t>
        </is>
      </c>
      <c r="I81" s="804" t="n"/>
      <c r="J81" s="804" t="n"/>
      <c r="K81" s="804" t="n"/>
      <c r="L81" s="804" t="n"/>
      <c r="M81" s="804" t="n"/>
      <c r="N81" s="804" t="n"/>
      <c r="O81" s="804" t="n"/>
      <c r="P81" s="804" t="n"/>
      <c r="Q81" s="804" t="n"/>
      <c r="R81" s="804" t="n"/>
      <c r="S81" s="804" t="n"/>
      <c r="T81" s="804" t="n"/>
      <c r="U81" s="804" t="n"/>
      <c r="V81" s="804" t="n"/>
      <c r="W81" s="804" t="n"/>
      <c r="X81" s="804" t="n"/>
    </row>
    <row r="82" hidden="1" outlineLevel="1" ht="16" customHeight="1" s="254">
      <c r="A82" s="781" t="inlineStr">
        <is>
          <t>Every charger run has a distance?</t>
        </is>
      </c>
      <c r="B82" s="810">
        <f>IF(N($B$80)=0,"nothing on the equipment schedule yet",IF(N($B$81)&gt;0,"INCOMPLETE — "&amp;TEXT($B$81,"0")&amp;" run(s) have no distance, and a run with no distance has no conductor and no cost","OK — every charger run has a distance"))</f>
        <v/>
      </c>
      <c r="C82" s="804" t="n"/>
      <c r="D82" s="804" t="n"/>
      <c r="E82" s="804" t="n"/>
      <c r="F82" s="804" t="n"/>
      <c r="G82" s="804" t="n"/>
      <c r="H82" s="804" t="n"/>
      <c r="I82" s="804" t="n"/>
      <c r="J82" s="804" t="n"/>
      <c r="K82" s="804" t="n"/>
      <c r="L82" s="804" t="n"/>
      <c r="M82" s="804" t="n"/>
      <c r="N82" s="804" t="n"/>
      <c r="O82" s="804" t="n"/>
      <c r="P82" s="804" t="n"/>
      <c r="Q82" s="804" t="n"/>
      <c r="R82" s="804" t="n"/>
      <c r="S82" s="804" t="n"/>
      <c r="T82" s="804" t="n"/>
      <c r="U82" s="804" t="n"/>
      <c r="V82" s="804" t="n"/>
      <c r="W82" s="804" t="n"/>
      <c r="X82" s="804" t="n"/>
    </row>
    <row r="83" hidden="1" outlineLevel="1" ht="16" customHeight="1" s="254">
      <c r="A83" s="781" t="inlineStr">
        <is>
          <t>Every run sized and costed?</t>
        </is>
      </c>
      <c r="B83" s="810">
        <f>IF(N($B$80)=0,"n/a",IF(COUNTIF($T$18:$T$77,"UNDERSIZED*")+COUNTIF($T$18:$T$77,"PARALLEL*")+COUNTIF($T$18:$T$77,"no ampacity*")+COUNTIF($T$18:$T$77,"SET THE*")&gt;0,"ATTENTION — read the verdict column; a run with a problem there is a run priced wrong","OK — every run with a distance has a conductor, a breaker and a cost"))</f>
        <v/>
      </c>
      <c r="C83" s="804" t="n"/>
      <c r="D83" s="804" t="n"/>
      <c r="E83" s="804" t="n"/>
      <c r="F83" s="804" t="n"/>
      <c r="G83" s="804" t="n"/>
      <c r="H83" s="804" t="n"/>
      <c r="I83" s="804" t="n"/>
      <c r="J83" s="804" t="n"/>
      <c r="K83" s="804" t="n"/>
      <c r="L83" s="804" t="n"/>
      <c r="M83" s="804" t="n"/>
      <c r="N83" s="804" t="n"/>
      <c r="O83" s="804" t="n"/>
      <c r="P83" s="804" t="n"/>
      <c r="Q83" s="804" t="n"/>
      <c r="R83" s="804" t="n"/>
      <c r="S83" s="804" t="n"/>
      <c r="T83" s="804" t="n"/>
      <c r="U83" s="804" t="n"/>
      <c r="V83" s="804" t="n"/>
      <c r="W83" s="804" t="n"/>
      <c r="X83" s="804" t="n"/>
    </row>
    <row r="84" hidden="1" outlineLevel="1" ht="31" customHeight="1" s="254">
      <c r="A84" s="781" t="inlineStr">
        <is>
          <t>DC charger-run material ($)</t>
        </is>
      </c>
      <c r="B84" s="870">
        <f>SUMIF($V$18:$V$77,"DC",$S$18:$S$77)+SUMIF($V$18:$V$77,"CAB",$S$18:$S$77)</f>
        <v/>
      </c>
      <c r="C84" s="814" t="inlineStr">
        <is>
          <t>Standalone DC chargers and power-cabinet feeders. The engine reads this row.</t>
        </is>
      </c>
      <c r="I84" s="804" t="n"/>
      <c r="J84" s="804" t="n"/>
      <c r="K84" s="804" t="n"/>
      <c r="L84" s="804" t="n"/>
      <c r="M84" s="804" t="n"/>
      <c r="N84" s="804" t="n"/>
      <c r="O84" s="804" t="n"/>
      <c r="P84" s="804" t="n"/>
      <c r="Q84" s="804" t="n"/>
      <c r="R84" s="804" t="n"/>
      <c r="S84" s="804" t="n"/>
      <c r="T84" s="804" t="n"/>
      <c r="U84" s="804" t="n"/>
      <c r="V84" s="804" t="n"/>
      <c r="W84" s="804" t="n"/>
      <c r="X84" s="804" t="n"/>
    </row>
    <row r="85" hidden="1" outlineLevel="1" ht="16" customHeight="1" s="254">
      <c r="A85" s="781" t="inlineStr">
        <is>
          <t>Level 2 charger-run material ($)</t>
        </is>
      </c>
      <c r="B85" s="870">
        <f>SUMIF($V$18:$V$77,"L2",$S$18:$S$77)</f>
        <v/>
      </c>
      <c r="C85" s="814" t="inlineStr">
        <is>
          <t>Level 2 branch circuits. The engine reads this row.</t>
        </is>
      </c>
      <c r="I85" s="804" t="n"/>
      <c r="J85" s="804" t="n"/>
      <c r="K85" s="804" t="n"/>
      <c r="L85" s="804" t="n"/>
      <c r="M85" s="804" t="n"/>
      <c r="N85" s="804" t="n"/>
      <c r="O85" s="804" t="n"/>
      <c r="P85" s="804" t="n"/>
      <c r="Q85" s="804" t="n"/>
      <c r="R85" s="804" t="n"/>
      <c r="S85" s="804" t="n"/>
      <c r="T85" s="804" t="n"/>
      <c r="U85" s="804" t="n"/>
      <c r="V85" s="804" t="n"/>
      <c r="W85" s="804" t="n"/>
      <c r="X85" s="804" t="n"/>
    </row>
    <row r="86" hidden="1" outlineLevel="1" ht="31" customHeight="1" s="254">
      <c r="A86" s="781" t="inlineStr">
        <is>
          <t>Charger-run material cost ($)</t>
        </is>
      </c>
      <c r="B86" s="870">
        <f>SUM($S$18:$S$77)</f>
        <v/>
      </c>
      <c r="C86" s="814" t="inlineStr">
        <is>
          <t>Conductor, ground, conduit and comms for every charger run, at RefData rates.</t>
        </is>
      </c>
      <c r="I86" s="804" t="n"/>
      <c r="J86" s="804" t="n"/>
      <c r="K86" s="804" t="n"/>
      <c r="L86" s="804" t="n"/>
      <c r="M86" s="804" t="n"/>
      <c r="N86" s="804" t="n"/>
      <c r="O86" s="804" t="n"/>
      <c r="P86" s="804" t="n"/>
      <c r="Q86" s="804" t="n"/>
      <c r="R86" s="804" t="n"/>
      <c r="S86" s="804" t="n"/>
      <c r="T86" s="804" t="n"/>
      <c r="U86" s="804" t="n"/>
      <c r="V86" s="804" t="n"/>
      <c r="W86" s="804" t="n"/>
      <c r="X86" s="804" t="n"/>
    </row>
    <row r="87" hidden="1" outlineLevel="1" ht="16" customHeight="1" s="254">
      <c r="A87" s="781" t="inlineStr">
        <is>
          <t>Total charger-run distance (ft)</t>
        </is>
      </c>
      <c r="B87" s="809">
        <f>SUM($F$18:$F$77)</f>
        <v/>
      </c>
      <c r="C87" s="804" t="n"/>
      <c r="D87" s="804" t="n"/>
      <c r="E87" s="804" t="n"/>
      <c r="F87" s="804" t="n"/>
      <c r="G87" s="804" t="n"/>
      <c r="H87" s="804" t="n"/>
      <c r="I87" s="804" t="n"/>
      <c r="J87" s="804" t="n"/>
      <c r="K87" s="804" t="n"/>
      <c r="L87" s="804" t="n"/>
      <c r="M87" s="804" t="n"/>
      <c r="N87" s="804" t="n"/>
      <c r="O87" s="804" t="n"/>
      <c r="P87" s="804" t="n"/>
      <c r="Q87" s="804" t="n"/>
      <c r="R87" s="804" t="n"/>
      <c r="S87" s="804" t="n"/>
      <c r="T87" s="804" t="n"/>
      <c r="U87" s="804" t="n"/>
      <c r="V87" s="804" t="n"/>
      <c r="W87" s="804" t="n"/>
      <c r="X87" s="804" t="n"/>
    </row>
    <row r="88" hidden="1" outlineLevel="1" ht="16" customHeight="1" s="254">
      <c r="A88" s="781" t="inlineStr">
        <is>
          <t>Trench to cut (ft)</t>
        </is>
      </c>
      <c r="B88" s="809">
        <f>SUMIF($G$18:$G$77,"&lt;&gt;Yes",$F$18:$F$77)</f>
        <v/>
      </c>
      <c r="C88" s="814" t="inlineStr">
        <is>
          <t>Runs marked as sharing another run's trench are excluded.</t>
        </is>
      </c>
      <c r="I88" s="804" t="n"/>
      <c r="J88" s="804" t="n"/>
      <c r="K88" s="804" t="n"/>
      <c r="L88" s="804" t="n"/>
      <c r="M88" s="804" t="n"/>
      <c r="N88" s="804" t="n"/>
      <c r="O88" s="804" t="n"/>
      <c r="P88" s="804" t="n"/>
      <c r="Q88" s="804" t="n"/>
      <c r="R88" s="804" t="n"/>
      <c r="S88" s="804" t="n"/>
      <c r="T88" s="804" t="n"/>
      <c r="U88" s="804" t="n"/>
      <c r="V88" s="804" t="n"/>
      <c r="W88" s="804" t="n"/>
      <c r="X88" s="804" t="n"/>
    </row>
    <row r="89" hidden="1" outlineLevel="1" ht="31" customHeight="1" s="254">
      <c r="A89" s="781" t="inlineStr">
        <is>
          <t>Trench restoration (sq ft)</t>
        </is>
      </c>
      <c r="B89" s="809">
        <f>$B$88*$B$9/12</f>
        <v/>
      </c>
      <c r="C89" s="814" t="inlineStr">
        <is>
          <t>Trench feet times the width implied by the depth in block A. Compare with the paving line on the Construction tab.</t>
        </is>
      </c>
      <c r="I89" s="804" t="n"/>
      <c r="J89" s="804" t="n"/>
      <c r="K89" s="804" t="n"/>
      <c r="L89" s="804" t="n"/>
      <c r="M89" s="804" t="n"/>
      <c r="N89" s="804" t="n"/>
      <c r="O89" s="804" t="n"/>
      <c r="P89" s="804" t="n"/>
      <c r="Q89" s="804" t="n"/>
      <c r="R89" s="804" t="n"/>
      <c r="S89" s="804" t="n"/>
      <c r="T89" s="804" t="n"/>
      <c r="U89" s="804" t="n"/>
      <c r="V89" s="804" t="n"/>
      <c r="W89" s="804" t="n"/>
      <c r="X89" s="804" t="n"/>
    </row>
    <row r="90" hidden="1" outlineLevel="1" ht="16" customHeight="1" s="254">
      <c r="A90" s="781" t="inlineStr">
        <is>
          <t>Longest charger run (ft)</t>
        </is>
      </c>
      <c r="B90" s="809">
        <f>IF(COUNT($F$18:$F$77)=0,0,MAX($F$18:$F$77))</f>
        <v/>
      </c>
      <c r="C90" s="814" t="inlineStr">
        <is>
          <t>The binding constraint on voltage drop.</t>
        </is>
      </c>
      <c r="I90" s="804" t="n"/>
      <c r="J90" s="804" t="n"/>
      <c r="K90" s="804" t="n"/>
      <c r="L90" s="804" t="n"/>
      <c r="M90" s="804" t="n"/>
      <c r="N90" s="804" t="n"/>
      <c r="O90" s="804" t="n"/>
      <c r="P90" s="804" t="n"/>
      <c r="Q90" s="804" t="n"/>
      <c r="R90" s="804" t="n"/>
      <c r="S90" s="804" t="n"/>
      <c r="T90" s="804" t="n"/>
      <c r="U90" s="804" t="n"/>
      <c r="V90" s="804" t="n"/>
      <c r="W90" s="804" t="n"/>
      <c r="X90" s="804" t="n"/>
    </row>
    <row r="91" hidden="1" outlineLevel="1" ht="16" customHeight="1" s="254">
      <c r="A91" s="811" t="n"/>
      <c r="B91" s="804" t="n"/>
      <c r="C91" s="804" t="n"/>
      <c r="D91" s="804" t="n"/>
      <c r="E91" s="804" t="n"/>
      <c r="F91" s="804" t="n"/>
      <c r="G91" s="804" t="n"/>
      <c r="H91" s="804" t="n"/>
      <c r="I91" s="804" t="n"/>
      <c r="J91" s="804" t="n"/>
      <c r="K91" s="804" t="n"/>
      <c r="L91" s="804" t="n"/>
      <c r="M91" s="804" t="n"/>
      <c r="N91" s="804" t="n"/>
      <c r="O91" s="804" t="n"/>
      <c r="P91" s="804" t="n"/>
      <c r="Q91" s="804" t="n"/>
      <c r="R91" s="804" t="n"/>
      <c r="S91" s="804" t="n"/>
      <c r="T91" s="804" t="n"/>
      <c r="U91" s="804" t="n"/>
      <c r="V91" s="804" t="n"/>
      <c r="W91" s="804" t="n"/>
      <c r="X91" s="804" t="n"/>
    </row>
    <row r="92" ht="19.75" customHeight="1" s="254">
      <c r="A92" s="798" t="inlineStr">
        <is>
          <t>C · DISPENSER RUNS — power cabinet to dispenser (only on a power-cabinet system)</t>
        </is>
      </c>
      <c r="I92" s="804" t="n"/>
      <c r="J92" s="804" t="n"/>
      <c r="K92" s="804" t="n"/>
      <c r="L92" s="804" t="n"/>
      <c r="M92" s="804" t="n"/>
      <c r="N92" s="804" t="n"/>
      <c r="O92" s="804" t="n"/>
      <c r="P92" s="804" t="n"/>
      <c r="Q92" s="804" t="n"/>
      <c r="R92" s="804" t="n"/>
      <c r="S92" s="804" t="n"/>
      <c r="T92" s="804" t="n"/>
      <c r="U92" s="804" t="n"/>
      <c r="V92" s="804" t="n"/>
      <c r="W92" s="804" t="n"/>
      <c r="X92" s="804" t="n"/>
    </row>
    <row r="93" hidden="1" outlineLevel="1" ht="43.5" customHeight="1" s="254">
      <c r="A93" s="781" t="inlineStr">
        <is>
          <t>Is this block used on this site?</t>
        </is>
      </c>
      <c r="B93" s="810">
        <f>IF(N(Equipment!$B$38)=0,"NOT USED — no power cabinet on the equipment schedule, so there are no dispensers and nothing to enter here","USED — "&amp;TEXT(Equipment!$B$38,"0")&amp;" dispenser(s) listed below; type the cabinet-to-dispenser distance for each")</f>
        <v/>
      </c>
      <c r="C93" s="814" t="inlineStr">
        <is>
          <t>A dispenser has connectors and no power of its own: it is fed DC from a power cabinet. A standalone charger is NOT a dispenser and belongs in block B.</t>
        </is>
      </c>
      <c r="I93" s="804" t="n"/>
      <c r="J93" s="804" t="n"/>
      <c r="K93" s="804" t="n"/>
      <c r="L93" s="804" t="n"/>
      <c r="M93" s="804" t="n"/>
      <c r="N93" s="804" t="n"/>
      <c r="O93" s="804" t="n"/>
      <c r="P93" s="804" t="n"/>
      <c r="Q93" s="804" t="n"/>
      <c r="R93" s="804" t="n"/>
      <c r="S93" s="804" t="n"/>
      <c r="T93" s="804" t="n"/>
      <c r="U93" s="804" t="n"/>
      <c r="V93" s="804" t="n"/>
      <c r="W93" s="804" t="n"/>
      <c r="X93" s="804" t="n"/>
    </row>
    <row r="94" hidden="1" outlineLevel="1" ht="56" customHeight="1" s="254">
      <c r="A94" s="806" t="inlineStr">
        <is>
          <t>Dispenser (auto)</t>
        </is>
      </c>
      <c r="B94" s="806" t="inlineStr">
        <is>
          <t>Fed from (auto)</t>
        </is>
      </c>
      <c r="C94" s="806" t="inlineStr">
        <is>
          <t>Distance (ft)</t>
        </is>
      </c>
      <c r="D94" s="806" t="inlineStr">
        <is>
          <t>DC circuits (auto)</t>
        </is>
      </c>
      <c r="E94" s="806" t="inlineStr">
        <is>
          <t>Conductor</t>
        </is>
      </c>
      <c r="F94" s="806" t="inlineStr">
        <is>
          <t>Ground</t>
        </is>
      </c>
      <c r="G94" s="806" t="inlineStr">
        <is>
          <t>Conduit</t>
        </is>
      </c>
      <c r="H94" s="806" t="inlineStr">
        <is>
          <t>Trench shared with the AC run? (Yes/blank)</t>
        </is>
      </c>
      <c r="I94" s="806" t="inlineStr">
        <is>
          <t>Power conductor ft (auto)</t>
        </is>
      </c>
      <c r="J94" s="806" t="inlineStr">
        <is>
          <t>Ground ft (auto)</t>
        </is>
      </c>
      <c r="K94" s="806" t="inlineStr">
        <is>
          <t>Conduit ft (auto)</t>
        </is>
      </c>
      <c r="L94" s="806" t="inlineStr">
        <is>
          <t>Comms ft (auto)</t>
        </is>
      </c>
      <c r="M94" s="806" t="inlineStr">
        <is>
          <t>Trench ft (auto)</t>
        </is>
      </c>
      <c r="N94" s="806" t="inlineStr">
        <is>
          <t>Material $ (auto)</t>
        </is>
      </c>
      <c r="O94" s="804" t="n"/>
      <c r="P94" s="804" t="n"/>
      <c r="Q94" s="804" t="n"/>
      <c r="R94" s="804" t="n"/>
      <c r="S94" s="804" t="n"/>
      <c r="T94" s="804" t="n"/>
      <c r="U94" s="804" t="n"/>
      <c r="V94" s="804" t="n"/>
      <c r="W94" s="804" t="n"/>
      <c r="X94" s="804" t="n"/>
    </row>
    <row r="95" hidden="1" outlineLevel="1" ht="16" customHeight="1" s="254">
      <c r="A95" s="862">
        <f>IF(N(Equipment!$B$38)&gt;=1,"Dispenser 1","")</f>
        <v/>
      </c>
      <c r="B95" s="863">
        <f>IF($A95="","","Line "&amp;(COUNTIF(Equipment!$V$7:$V$18,"&lt;1")+1)&amp;" cabinet "&amp;ROUNDUP((1-INDEX(Equipment!$U$7:$U$18,(COUNTIF(Equipment!$V$7:$V$18,"&lt;1")+1))+1)/MAX(1,INDEX(Equipment!$N$7:$N$18,(COUNTIF(Equipment!$V$7:$V$18,"&lt;1")+1))),0)&amp;" — "&amp;INDEX(Equipment!$C$7:$C$18,(COUNTIF(Equipment!$V$7:$V$18,"&lt;1")+1)))</f>
        <v/>
      </c>
      <c r="C95" s="831" t="n"/>
      <c r="D95" s="865">
        <f>IF($A95="","",MAX(1,INDEX(Equipment!$O$7:$O$18,(COUNTIF(Equipment!$V$7:$V$18,"&lt;1")+1))))</f>
        <v/>
      </c>
      <c r="E95" s="807" t="n"/>
      <c r="F95" s="807" t="n"/>
      <c r="G95" s="807" t="n"/>
      <c r="H95" s="807" t="n"/>
      <c r="I95" s="871">
        <f>N($C95)*MAX(1,N($D95))*2</f>
        <v/>
      </c>
      <c r="J95" s="871">
        <f>N($C95)*MAX(1,N($D95))</f>
        <v/>
      </c>
      <c r="K95" s="871">
        <f>N($C95)*MAX(1,N($D95))</f>
        <v/>
      </c>
      <c r="L95" s="871">
        <f>N($C95)</f>
        <v/>
      </c>
      <c r="M95" s="871">
        <f>IF($H95="Yes",0,N($C95))</f>
        <v/>
      </c>
      <c r="N95" s="867">
        <f>IFERROR(N($I95)*INDEX(IF($B$6="Cu",WIRE_CU,WIRE_AL),MATCH($E95,WIRE_SIZE,0)),0)+IFERROR(N($J95)*INDEX(IF($B$6="Cu",WIRE_CU,WIRE_AL),MATCH($F95,WIRE_SIZE,0)),0)+IFERROR(N($K95)*INDEX(PVC_RATE,MATCH($G95,PVC_SIZE,0)),0)+IFERROR(N($L95)*INDEX(PVC_RATE,MATCH("(3/4"")",PVC_SIZE,0)),0)</f>
        <v/>
      </c>
      <c r="O95" s="804" t="n"/>
      <c r="P95" s="804" t="n"/>
      <c r="Q95" s="804" t="n"/>
      <c r="R95" s="804" t="n"/>
      <c r="S95" s="804" t="n"/>
      <c r="T95" s="804" t="n"/>
      <c r="U95" s="804" t="n"/>
      <c r="V95" s="804" t="n"/>
      <c r="W95" s="804" t="n"/>
      <c r="X95" s="804" t="n"/>
    </row>
    <row r="96" hidden="1" outlineLevel="1" ht="16" customHeight="1" s="254">
      <c r="A96" s="862">
        <f>IF(N(Equipment!$B$38)&gt;=2,"Dispenser 2","")</f>
        <v/>
      </c>
      <c r="B96" s="863">
        <f>IF($A96="","","Line "&amp;(COUNTIF(Equipment!$V$7:$V$18,"&lt;2")+1)&amp;" cabinet "&amp;ROUNDUP((2-INDEX(Equipment!$U$7:$U$18,(COUNTIF(Equipment!$V$7:$V$18,"&lt;2")+1))+1)/MAX(1,INDEX(Equipment!$N$7:$N$18,(COUNTIF(Equipment!$V$7:$V$18,"&lt;2")+1))),0)&amp;" — "&amp;INDEX(Equipment!$C$7:$C$18,(COUNTIF(Equipment!$V$7:$V$18,"&lt;2")+1)))</f>
        <v/>
      </c>
      <c r="C96" s="831" t="n"/>
      <c r="D96" s="865">
        <f>IF($A96="","",MAX(1,INDEX(Equipment!$O$7:$O$18,(COUNTIF(Equipment!$V$7:$V$18,"&lt;2")+1))))</f>
        <v/>
      </c>
      <c r="E96" s="807" t="n"/>
      <c r="F96" s="807" t="n"/>
      <c r="G96" s="807" t="n"/>
      <c r="H96" s="807" t="n"/>
      <c r="I96" s="871">
        <f>N($C96)*MAX(1,N($D96))*2</f>
        <v/>
      </c>
      <c r="J96" s="871">
        <f>N($C96)*MAX(1,N($D96))</f>
        <v/>
      </c>
      <c r="K96" s="871">
        <f>N($C96)*MAX(1,N($D96))</f>
        <v/>
      </c>
      <c r="L96" s="871">
        <f>N($C96)</f>
        <v/>
      </c>
      <c r="M96" s="871">
        <f>IF($H96="Yes",0,N($C96))</f>
        <v/>
      </c>
      <c r="N96" s="867">
        <f>IFERROR(N($I96)*INDEX(IF($B$6="Cu",WIRE_CU,WIRE_AL),MATCH($E96,WIRE_SIZE,0)),0)+IFERROR(N($J96)*INDEX(IF($B$6="Cu",WIRE_CU,WIRE_AL),MATCH($F96,WIRE_SIZE,0)),0)+IFERROR(N($K96)*INDEX(PVC_RATE,MATCH($G96,PVC_SIZE,0)),0)+IFERROR(N($L96)*INDEX(PVC_RATE,MATCH("(3/4"")",PVC_SIZE,0)),0)</f>
        <v/>
      </c>
      <c r="O96" s="804" t="n"/>
      <c r="P96" s="804" t="n"/>
      <c r="Q96" s="804" t="n"/>
      <c r="R96" s="804" t="n"/>
      <c r="S96" s="804" t="n"/>
      <c r="T96" s="804" t="n"/>
      <c r="U96" s="804" t="n"/>
      <c r="V96" s="804" t="n"/>
      <c r="W96" s="804" t="n"/>
      <c r="X96" s="804" t="n"/>
    </row>
    <row r="97" hidden="1" outlineLevel="1" ht="16" customHeight="1" s="254">
      <c r="A97" s="862">
        <f>IF(N(Equipment!$B$38)&gt;=3,"Dispenser 3","")</f>
        <v/>
      </c>
      <c r="B97" s="863">
        <f>IF($A97="","","Line "&amp;(COUNTIF(Equipment!$V$7:$V$18,"&lt;3")+1)&amp;" cabinet "&amp;ROUNDUP((3-INDEX(Equipment!$U$7:$U$18,(COUNTIF(Equipment!$V$7:$V$18,"&lt;3")+1))+1)/MAX(1,INDEX(Equipment!$N$7:$N$18,(COUNTIF(Equipment!$V$7:$V$18,"&lt;3")+1))),0)&amp;" — "&amp;INDEX(Equipment!$C$7:$C$18,(COUNTIF(Equipment!$V$7:$V$18,"&lt;3")+1)))</f>
        <v/>
      </c>
      <c r="C97" s="831" t="n"/>
      <c r="D97" s="865">
        <f>IF($A97="","",MAX(1,INDEX(Equipment!$O$7:$O$18,(COUNTIF(Equipment!$V$7:$V$18,"&lt;3")+1))))</f>
        <v/>
      </c>
      <c r="E97" s="807" t="n"/>
      <c r="F97" s="807" t="n"/>
      <c r="G97" s="807" t="n"/>
      <c r="H97" s="807" t="n"/>
      <c r="I97" s="871">
        <f>N($C97)*MAX(1,N($D97))*2</f>
        <v/>
      </c>
      <c r="J97" s="871">
        <f>N($C97)*MAX(1,N($D97))</f>
        <v/>
      </c>
      <c r="K97" s="871">
        <f>N($C97)*MAX(1,N($D97))</f>
        <v/>
      </c>
      <c r="L97" s="871">
        <f>N($C97)</f>
        <v/>
      </c>
      <c r="M97" s="871">
        <f>IF($H97="Yes",0,N($C97))</f>
        <v/>
      </c>
      <c r="N97" s="867">
        <f>IFERROR(N($I97)*INDEX(IF($B$6="Cu",WIRE_CU,WIRE_AL),MATCH($E97,WIRE_SIZE,0)),0)+IFERROR(N($J97)*INDEX(IF($B$6="Cu",WIRE_CU,WIRE_AL),MATCH($F97,WIRE_SIZE,0)),0)+IFERROR(N($K97)*INDEX(PVC_RATE,MATCH($G97,PVC_SIZE,0)),0)+IFERROR(N($L97)*INDEX(PVC_RATE,MATCH("(3/4"")",PVC_SIZE,0)),0)</f>
        <v/>
      </c>
      <c r="O97" s="804" t="n"/>
      <c r="P97" s="804" t="n"/>
      <c r="Q97" s="804" t="n"/>
      <c r="R97" s="804" t="n"/>
      <c r="S97" s="804" t="n"/>
      <c r="T97" s="804" t="n"/>
      <c r="U97" s="804" t="n"/>
      <c r="V97" s="804" t="n"/>
      <c r="W97" s="804" t="n"/>
      <c r="X97" s="804" t="n"/>
    </row>
    <row r="98" hidden="1" outlineLevel="1" ht="16" customHeight="1" s="254">
      <c r="A98" s="862">
        <f>IF(N(Equipment!$B$38)&gt;=4,"Dispenser 4","")</f>
        <v/>
      </c>
      <c r="B98" s="863">
        <f>IF($A98="","","Line "&amp;(COUNTIF(Equipment!$V$7:$V$18,"&lt;4")+1)&amp;" cabinet "&amp;ROUNDUP((4-INDEX(Equipment!$U$7:$U$18,(COUNTIF(Equipment!$V$7:$V$18,"&lt;4")+1))+1)/MAX(1,INDEX(Equipment!$N$7:$N$18,(COUNTIF(Equipment!$V$7:$V$18,"&lt;4")+1))),0)&amp;" — "&amp;INDEX(Equipment!$C$7:$C$18,(COUNTIF(Equipment!$V$7:$V$18,"&lt;4")+1)))</f>
        <v/>
      </c>
      <c r="C98" s="831" t="n"/>
      <c r="D98" s="865">
        <f>IF($A98="","",MAX(1,INDEX(Equipment!$O$7:$O$18,(COUNTIF(Equipment!$V$7:$V$18,"&lt;4")+1))))</f>
        <v/>
      </c>
      <c r="E98" s="807" t="n"/>
      <c r="F98" s="807" t="n"/>
      <c r="G98" s="807" t="n"/>
      <c r="H98" s="807" t="n"/>
      <c r="I98" s="871">
        <f>N($C98)*MAX(1,N($D98))*2</f>
        <v/>
      </c>
      <c r="J98" s="871">
        <f>N($C98)*MAX(1,N($D98))</f>
        <v/>
      </c>
      <c r="K98" s="871">
        <f>N($C98)*MAX(1,N($D98))</f>
        <v/>
      </c>
      <c r="L98" s="871">
        <f>N($C98)</f>
        <v/>
      </c>
      <c r="M98" s="871">
        <f>IF($H98="Yes",0,N($C98))</f>
        <v/>
      </c>
      <c r="N98" s="867">
        <f>IFERROR(N($I98)*INDEX(IF($B$6="Cu",WIRE_CU,WIRE_AL),MATCH($E98,WIRE_SIZE,0)),0)+IFERROR(N($J98)*INDEX(IF($B$6="Cu",WIRE_CU,WIRE_AL),MATCH($F98,WIRE_SIZE,0)),0)+IFERROR(N($K98)*INDEX(PVC_RATE,MATCH($G98,PVC_SIZE,0)),0)+IFERROR(N($L98)*INDEX(PVC_RATE,MATCH("(3/4"")",PVC_SIZE,0)),0)</f>
        <v/>
      </c>
      <c r="O98" s="804" t="n"/>
      <c r="P98" s="804" t="n"/>
      <c r="Q98" s="804" t="n"/>
      <c r="R98" s="804" t="n"/>
      <c r="S98" s="804" t="n"/>
      <c r="T98" s="804" t="n"/>
      <c r="U98" s="804" t="n"/>
      <c r="V98" s="804" t="n"/>
      <c r="W98" s="804" t="n"/>
      <c r="X98" s="804" t="n"/>
    </row>
    <row r="99" hidden="1" outlineLevel="1" ht="16" customHeight="1" s="254">
      <c r="A99" s="862">
        <f>IF(N(Equipment!$B$38)&gt;=5,"Dispenser 5","")</f>
        <v/>
      </c>
      <c r="B99" s="863">
        <f>IF($A99="","","Line "&amp;(COUNTIF(Equipment!$V$7:$V$18,"&lt;5")+1)&amp;" cabinet "&amp;ROUNDUP((5-INDEX(Equipment!$U$7:$U$18,(COUNTIF(Equipment!$V$7:$V$18,"&lt;5")+1))+1)/MAX(1,INDEX(Equipment!$N$7:$N$18,(COUNTIF(Equipment!$V$7:$V$18,"&lt;5")+1))),0)&amp;" — "&amp;INDEX(Equipment!$C$7:$C$18,(COUNTIF(Equipment!$V$7:$V$18,"&lt;5")+1)))</f>
        <v/>
      </c>
      <c r="C99" s="831" t="n"/>
      <c r="D99" s="865">
        <f>IF($A99="","",MAX(1,INDEX(Equipment!$O$7:$O$18,(COUNTIF(Equipment!$V$7:$V$18,"&lt;5")+1))))</f>
        <v/>
      </c>
      <c r="E99" s="807" t="n"/>
      <c r="F99" s="807" t="n"/>
      <c r="G99" s="807" t="n"/>
      <c r="H99" s="807" t="n"/>
      <c r="I99" s="871">
        <f>N($C99)*MAX(1,N($D99))*2</f>
        <v/>
      </c>
      <c r="J99" s="871">
        <f>N($C99)*MAX(1,N($D99))</f>
        <v/>
      </c>
      <c r="K99" s="871">
        <f>N($C99)*MAX(1,N($D99))</f>
        <v/>
      </c>
      <c r="L99" s="871">
        <f>N($C99)</f>
        <v/>
      </c>
      <c r="M99" s="871">
        <f>IF($H99="Yes",0,N($C99))</f>
        <v/>
      </c>
      <c r="N99" s="867">
        <f>IFERROR(N($I99)*INDEX(IF($B$6="Cu",WIRE_CU,WIRE_AL),MATCH($E99,WIRE_SIZE,0)),0)+IFERROR(N($J99)*INDEX(IF($B$6="Cu",WIRE_CU,WIRE_AL),MATCH($F99,WIRE_SIZE,0)),0)+IFERROR(N($K99)*INDEX(PVC_RATE,MATCH($G99,PVC_SIZE,0)),0)+IFERROR(N($L99)*INDEX(PVC_RATE,MATCH("(3/4"")",PVC_SIZE,0)),0)</f>
        <v/>
      </c>
      <c r="O99" s="804" t="n"/>
      <c r="P99" s="804" t="n"/>
      <c r="Q99" s="804" t="n"/>
      <c r="R99" s="804" t="n"/>
      <c r="S99" s="804" t="n"/>
      <c r="T99" s="804" t="n"/>
      <c r="U99" s="804" t="n"/>
      <c r="V99" s="804" t="n"/>
      <c r="W99" s="804" t="n"/>
      <c r="X99" s="804" t="n"/>
    </row>
    <row r="100" hidden="1" outlineLevel="1" ht="16" customHeight="1" s="254">
      <c r="A100" s="862">
        <f>IF(N(Equipment!$B$38)&gt;=6,"Dispenser 6","")</f>
        <v/>
      </c>
      <c r="B100" s="863">
        <f>IF($A100="","","Line "&amp;(COUNTIF(Equipment!$V$7:$V$18,"&lt;6")+1)&amp;" cabinet "&amp;ROUNDUP((6-INDEX(Equipment!$U$7:$U$18,(COUNTIF(Equipment!$V$7:$V$18,"&lt;6")+1))+1)/MAX(1,INDEX(Equipment!$N$7:$N$18,(COUNTIF(Equipment!$V$7:$V$18,"&lt;6")+1))),0)&amp;" — "&amp;INDEX(Equipment!$C$7:$C$18,(COUNTIF(Equipment!$V$7:$V$18,"&lt;6")+1)))</f>
        <v/>
      </c>
      <c r="C100" s="831" t="n"/>
      <c r="D100" s="865">
        <f>IF($A100="","",MAX(1,INDEX(Equipment!$O$7:$O$18,(COUNTIF(Equipment!$V$7:$V$18,"&lt;6")+1))))</f>
        <v/>
      </c>
      <c r="E100" s="807" t="n"/>
      <c r="F100" s="807" t="n"/>
      <c r="G100" s="807" t="n"/>
      <c r="H100" s="807" t="n"/>
      <c r="I100" s="871">
        <f>N($C100)*MAX(1,N($D100))*2</f>
        <v/>
      </c>
      <c r="J100" s="871">
        <f>N($C100)*MAX(1,N($D100))</f>
        <v/>
      </c>
      <c r="K100" s="871">
        <f>N($C100)*MAX(1,N($D100))</f>
        <v/>
      </c>
      <c r="L100" s="871">
        <f>N($C100)</f>
        <v/>
      </c>
      <c r="M100" s="871">
        <f>IF($H100="Yes",0,N($C100))</f>
        <v/>
      </c>
      <c r="N100" s="867">
        <f>IFERROR(N($I100)*INDEX(IF($B$6="Cu",WIRE_CU,WIRE_AL),MATCH($E100,WIRE_SIZE,0)),0)+IFERROR(N($J100)*INDEX(IF($B$6="Cu",WIRE_CU,WIRE_AL),MATCH($F100,WIRE_SIZE,0)),0)+IFERROR(N($K100)*INDEX(PVC_RATE,MATCH($G100,PVC_SIZE,0)),0)+IFERROR(N($L100)*INDEX(PVC_RATE,MATCH("(3/4"")",PVC_SIZE,0)),0)</f>
        <v/>
      </c>
      <c r="O100" s="804" t="n"/>
      <c r="P100" s="804" t="n"/>
      <c r="Q100" s="804" t="n"/>
      <c r="R100" s="804" t="n"/>
      <c r="S100" s="804" t="n"/>
      <c r="T100" s="804" t="n"/>
      <c r="U100" s="804" t="n"/>
      <c r="V100" s="804" t="n"/>
      <c r="W100" s="804" t="n"/>
      <c r="X100" s="804" t="n"/>
    </row>
    <row r="101" hidden="1" outlineLevel="1" ht="16" customHeight="1" s="254">
      <c r="A101" s="862">
        <f>IF(N(Equipment!$B$38)&gt;=7,"Dispenser 7","")</f>
        <v/>
      </c>
      <c r="B101" s="863">
        <f>IF($A101="","","Line "&amp;(COUNTIF(Equipment!$V$7:$V$18,"&lt;7")+1)&amp;" cabinet "&amp;ROUNDUP((7-INDEX(Equipment!$U$7:$U$18,(COUNTIF(Equipment!$V$7:$V$18,"&lt;7")+1))+1)/MAX(1,INDEX(Equipment!$N$7:$N$18,(COUNTIF(Equipment!$V$7:$V$18,"&lt;7")+1))),0)&amp;" — "&amp;INDEX(Equipment!$C$7:$C$18,(COUNTIF(Equipment!$V$7:$V$18,"&lt;7")+1)))</f>
        <v/>
      </c>
      <c r="C101" s="831" t="n"/>
      <c r="D101" s="865">
        <f>IF($A101="","",MAX(1,INDEX(Equipment!$O$7:$O$18,(COUNTIF(Equipment!$V$7:$V$18,"&lt;7")+1))))</f>
        <v/>
      </c>
      <c r="E101" s="807" t="n"/>
      <c r="F101" s="807" t="n"/>
      <c r="G101" s="807" t="n"/>
      <c r="H101" s="807" t="n"/>
      <c r="I101" s="871">
        <f>N($C101)*MAX(1,N($D101))*2</f>
        <v/>
      </c>
      <c r="J101" s="871">
        <f>N($C101)*MAX(1,N($D101))</f>
        <v/>
      </c>
      <c r="K101" s="871">
        <f>N($C101)*MAX(1,N($D101))</f>
        <v/>
      </c>
      <c r="L101" s="871">
        <f>N($C101)</f>
        <v/>
      </c>
      <c r="M101" s="871">
        <f>IF($H101="Yes",0,N($C101))</f>
        <v/>
      </c>
      <c r="N101" s="867">
        <f>IFERROR(N($I101)*INDEX(IF($B$6="Cu",WIRE_CU,WIRE_AL),MATCH($E101,WIRE_SIZE,0)),0)+IFERROR(N($J101)*INDEX(IF($B$6="Cu",WIRE_CU,WIRE_AL),MATCH($F101,WIRE_SIZE,0)),0)+IFERROR(N($K101)*INDEX(PVC_RATE,MATCH($G101,PVC_SIZE,0)),0)+IFERROR(N($L101)*INDEX(PVC_RATE,MATCH("(3/4"")",PVC_SIZE,0)),0)</f>
        <v/>
      </c>
      <c r="O101" s="804" t="n"/>
      <c r="P101" s="804" t="n"/>
      <c r="Q101" s="804" t="n"/>
      <c r="R101" s="804" t="n"/>
      <c r="S101" s="804" t="n"/>
      <c r="T101" s="804" t="n"/>
      <c r="U101" s="804" t="n"/>
      <c r="V101" s="804" t="n"/>
      <c r="W101" s="804" t="n"/>
      <c r="X101" s="804" t="n"/>
    </row>
    <row r="102" hidden="1" outlineLevel="1" ht="16" customHeight="1" s="254">
      <c r="A102" s="862">
        <f>IF(N(Equipment!$B$38)&gt;=8,"Dispenser 8","")</f>
        <v/>
      </c>
      <c r="B102" s="863">
        <f>IF($A102="","","Line "&amp;(COUNTIF(Equipment!$V$7:$V$18,"&lt;8")+1)&amp;" cabinet "&amp;ROUNDUP((8-INDEX(Equipment!$U$7:$U$18,(COUNTIF(Equipment!$V$7:$V$18,"&lt;8")+1))+1)/MAX(1,INDEX(Equipment!$N$7:$N$18,(COUNTIF(Equipment!$V$7:$V$18,"&lt;8")+1))),0)&amp;" — "&amp;INDEX(Equipment!$C$7:$C$18,(COUNTIF(Equipment!$V$7:$V$18,"&lt;8")+1)))</f>
        <v/>
      </c>
      <c r="C102" s="831" t="n"/>
      <c r="D102" s="865">
        <f>IF($A102="","",MAX(1,INDEX(Equipment!$O$7:$O$18,(COUNTIF(Equipment!$V$7:$V$18,"&lt;8")+1))))</f>
        <v/>
      </c>
      <c r="E102" s="807" t="n"/>
      <c r="F102" s="807" t="n"/>
      <c r="G102" s="807" t="n"/>
      <c r="H102" s="807" t="n"/>
      <c r="I102" s="871">
        <f>N($C102)*MAX(1,N($D102))*2</f>
        <v/>
      </c>
      <c r="J102" s="871">
        <f>N($C102)*MAX(1,N($D102))</f>
        <v/>
      </c>
      <c r="K102" s="871">
        <f>N($C102)*MAX(1,N($D102))</f>
        <v/>
      </c>
      <c r="L102" s="871">
        <f>N($C102)</f>
        <v/>
      </c>
      <c r="M102" s="871">
        <f>IF($H102="Yes",0,N($C102))</f>
        <v/>
      </c>
      <c r="N102" s="867">
        <f>IFERROR(N($I102)*INDEX(IF($B$6="Cu",WIRE_CU,WIRE_AL),MATCH($E102,WIRE_SIZE,0)),0)+IFERROR(N($J102)*INDEX(IF($B$6="Cu",WIRE_CU,WIRE_AL),MATCH($F102,WIRE_SIZE,0)),0)+IFERROR(N($K102)*INDEX(PVC_RATE,MATCH($G102,PVC_SIZE,0)),0)+IFERROR(N($L102)*INDEX(PVC_RATE,MATCH("(3/4"")",PVC_SIZE,0)),0)</f>
        <v/>
      </c>
      <c r="O102" s="804" t="n"/>
      <c r="P102" s="804" t="n"/>
      <c r="Q102" s="804" t="n"/>
      <c r="R102" s="804" t="n"/>
      <c r="S102" s="804" t="n"/>
      <c r="T102" s="804" t="n"/>
      <c r="U102" s="804" t="n"/>
      <c r="V102" s="804" t="n"/>
      <c r="W102" s="804" t="n"/>
      <c r="X102" s="804" t="n"/>
    </row>
    <row r="103" hidden="1" outlineLevel="1" ht="16" customHeight="1" s="254">
      <c r="A103" s="862">
        <f>IF(N(Equipment!$B$38)&gt;=9,"Dispenser 9","")</f>
        <v/>
      </c>
      <c r="B103" s="863">
        <f>IF($A103="","","Line "&amp;(COUNTIF(Equipment!$V$7:$V$18,"&lt;9")+1)&amp;" cabinet "&amp;ROUNDUP((9-INDEX(Equipment!$U$7:$U$18,(COUNTIF(Equipment!$V$7:$V$18,"&lt;9")+1))+1)/MAX(1,INDEX(Equipment!$N$7:$N$18,(COUNTIF(Equipment!$V$7:$V$18,"&lt;9")+1))),0)&amp;" — "&amp;INDEX(Equipment!$C$7:$C$18,(COUNTIF(Equipment!$V$7:$V$18,"&lt;9")+1)))</f>
        <v/>
      </c>
      <c r="C103" s="831" t="n"/>
      <c r="D103" s="865">
        <f>IF($A103="","",MAX(1,INDEX(Equipment!$O$7:$O$18,(COUNTIF(Equipment!$V$7:$V$18,"&lt;9")+1))))</f>
        <v/>
      </c>
      <c r="E103" s="807" t="n"/>
      <c r="F103" s="807" t="n"/>
      <c r="G103" s="807" t="n"/>
      <c r="H103" s="807" t="n"/>
      <c r="I103" s="871">
        <f>N($C103)*MAX(1,N($D103))*2</f>
        <v/>
      </c>
      <c r="J103" s="871">
        <f>N($C103)*MAX(1,N($D103))</f>
        <v/>
      </c>
      <c r="K103" s="871">
        <f>N($C103)*MAX(1,N($D103))</f>
        <v/>
      </c>
      <c r="L103" s="871">
        <f>N($C103)</f>
        <v/>
      </c>
      <c r="M103" s="871">
        <f>IF($H103="Yes",0,N($C103))</f>
        <v/>
      </c>
      <c r="N103" s="867">
        <f>IFERROR(N($I103)*INDEX(IF($B$6="Cu",WIRE_CU,WIRE_AL),MATCH($E103,WIRE_SIZE,0)),0)+IFERROR(N($J103)*INDEX(IF($B$6="Cu",WIRE_CU,WIRE_AL),MATCH($F103,WIRE_SIZE,0)),0)+IFERROR(N($K103)*INDEX(PVC_RATE,MATCH($G103,PVC_SIZE,0)),0)+IFERROR(N($L103)*INDEX(PVC_RATE,MATCH("(3/4"")",PVC_SIZE,0)),0)</f>
        <v/>
      </c>
      <c r="O103" s="804" t="n"/>
      <c r="P103" s="804" t="n"/>
      <c r="Q103" s="804" t="n"/>
      <c r="R103" s="804" t="n"/>
      <c r="S103" s="804" t="n"/>
      <c r="T103" s="804" t="n"/>
      <c r="U103" s="804" t="n"/>
      <c r="V103" s="804" t="n"/>
      <c r="W103" s="804" t="n"/>
      <c r="X103" s="804" t="n"/>
    </row>
    <row r="104" hidden="1" outlineLevel="1" ht="16" customHeight="1" s="254">
      <c r="A104" s="862">
        <f>IF(N(Equipment!$B$38)&gt;=10,"Dispenser 10","")</f>
        <v/>
      </c>
      <c r="B104" s="863">
        <f>IF($A104="","","Line "&amp;(COUNTIF(Equipment!$V$7:$V$18,"&lt;10")+1)&amp;" cabinet "&amp;ROUNDUP((10-INDEX(Equipment!$U$7:$U$18,(COUNTIF(Equipment!$V$7:$V$18,"&lt;10")+1))+1)/MAX(1,INDEX(Equipment!$N$7:$N$18,(COUNTIF(Equipment!$V$7:$V$18,"&lt;10")+1))),0)&amp;" — "&amp;INDEX(Equipment!$C$7:$C$18,(COUNTIF(Equipment!$V$7:$V$18,"&lt;10")+1)))</f>
        <v/>
      </c>
      <c r="C104" s="831" t="n"/>
      <c r="D104" s="865">
        <f>IF($A104="","",MAX(1,INDEX(Equipment!$O$7:$O$18,(COUNTIF(Equipment!$V$7:$V$18,"&lt;10")+1))))</f>
        <v/>
      </c>
      <c r="E104" s="807" t="n"/>
      <c r="F104" s="807" t="n"/>
      <c r="G104" s="807" t="n"/>
      <c r="H104" s="807" t="n"/>
      <c r="I104" s="871">
        <f>N($C104)*MAX(1,N($D104))*2</f>
        <v/>
      </c>
      <c r="J104" s="871">
        <f>N($C104)*MAX(1,N($D104))</f>
        <v/>
      </c>
      <c r="K104" s="871">
        <f>N($C104)*MAX(1,N($D104))</f>
        <v/>
      </c>
      <c r="L104" s="871">
        <f>N($C104)</f>
        <v/>
      </c>
      <c r="M104" s="871">
        <f>IF($H104="Yes",0,N($C104))</f>
        <v/>
      </c>
      <c r="N104" s="867">
        <f>IFERROR(N($I104)*INDEX(IF($B$6="Cu",WIRE_CU,WIRE_AL),MATCH($E104,WIRE_SIZE,0)),0)+IFERROR(N($J104)*INDEX(IF($B$6="Cu",WIRE_CU,WIRE_AL),MATCH($F104,WIRE_SIZE,0)),0)+IFERROR(N($K104)*INDEX(PVC_RATE,MATCH($G104,PVC_SIZE,0)),0)+IFERROR(N($L104)*INDEX(PVC_RATE,MATCH("(3/4"")",PVC_SIZE,0)),0)</f>
        <v/>
      </c>
      <c r="O104" s="804" t="n"/>
      <c r="P104" s="804" t="n"/>
      <c r="Q104" s="804" t="n"/>
      <c r="R104" s="804" t="n"/>
      <c r="S104" s="804" t="n"/>
      <c r="T104" s="804" t="n"/>
      <c r="U104" s="804" t="n"/>
      <c r="V104" s="804" t="n"/>
      <c r="W104" s="804" t="n"/>
      <c r="X104" s="804" t="n"/>
    </row>
    <row r="105" hidden="1" outlineLevel="1" ht="16" customHeight="1" s="254">
      <c r="A105" s="862">
        <f>IF(N(Equipment!$B$38)&gt;=11,"Dispenser 11","")</f>
        <v/>
      </c>
      <c r="B105" s="863">
        <f>IF($A105="","","Line "&amp;(COUNTIF(Equipment!$V$7:$V$18,"&lt;11")+1)&amp;" cabinet "&amp;ROUNDUP((11-INDEX(Equipment!$U$7:$U$18,(COUNTIF(Equipment!$V$7:$V$18,"&lt;11")+1))+1)/MAX(1,INDEX(Equipment!$N$7:$N$18,(COUNTIF(Equipment!$V$7:$V$18,"&lt;11")+1))),0)&amp;" — "&amp;INDEX(Equipment!$C$7:$C$18,(COUNTIF(Equipment!$V$7:$V$18,"&lt;11")+1)))</f>
        <v/>
      </c>
      <c r="C105" s="831" t="n"/>
      <c r="D105" s="865">
        <f>IF($A105="","",MAX(1,INDEX(Equipment!$O$7:$O$18,(COUNTIF(Equipment!$V$7:$V$18,"&lt;11")+1))))</f>
        <v/>
      </c>
      <c r="E105" s="807" t="n"/>
      <c r="F105" s="807" t="n"/>
      <c r="G105" s="807" t="n"/>
      <c r="H105" s="807" t="n"/>
      <c r="I105" s="871">
        <f>N($C105)*MAX(1,N($D105))*2</f>
        <v/>
      </c>
      <c r="J105" s="871">
        <f>N($C105)*MAX(1,N($D105))</f>
        <v/>
      </c>
      <c r="K105" s="871">
        <f>N($C105)*MAX(1,N($D105))</f>
        <v/>
      </c>
      <c r="L105" s="871">
        <f>N($C105)</f>
        <v/>
      </c>
      <c r="M105" s="871">
        <f>IF($H105="Yes",0,N($C105))</f>
        <v/>
      </c>
      <c r="N105" s="867">
        <f>IFERROR(N($I105)*INDEX(IF($B$6="Cu",WIRE_CU,WIRE_AL),MATCH($E105,WIRE_SIZE,0)),0)+IFERROR(N($J105)*INDEX(IF($B$6="Cu",WIRE_CU,WIRE_AL),MATCH($F105,WIRE_SIZE,0)),0)+IFERROR(N($K105)*INDEX(PVC_RATE,MATCH($G105,PVC_SIZE,0)),0)+IFERROR(N($L105)*INDEX(PVC_RATE,MATCH("(3/4"")",PVC_SIZE,0)),0)</f>
        <v/>
      </c>
      <c r="O105" s="804" t="n"/>
      <c r="P105" s="804" t="n"/>
      <c r="Q105" s="804" t="n"/>
      <c r="R105" s="804" t="n"/>
      <c r="S105" s="804" t="n"/>
      <c r="T105" s="804" t="n"/>
      <c r="U105" s="804" t="n"/>
      <c r="V105" s="804" t="n"/>
      <c r="W105" s="804" t="n"/>
      <c r="X105" s="804" t="n"/>
    </row>
    <row r="106" hidden="1" outlineLevel="1" ht="16" customHeight="1" s="254">
      <c r="A106" s="862">
        <f>IF(N(Equipment!$B$38)&gt;=12,"Dispenser 12","")</f>
        <v/>
      </c>
      <c r="B106" s="863">
        <f>IF($A106="","","Line "&amp;(COUNTIF(Equipment!$V$7:$V$18,"&lt;12")+1)&amp;" cabinet "&amp;ROUNDUP((12-INDEX(Equipment!$U$7:$U$18,(COUNTIF(Equipment!$V$7:$V$18,"&lt;12")+1))+1)/MAX(1,INDEX(Equipment!$N$7:$N$18,(COUNTIF(Equipment!$V$7:$V$18,"&lt;12")+1))),0)&amp;" — "&amp;INDEX(Equipment!$C$7:$C$18,(COUNTIF(Equipment!$V$7:$V$18,"&lt;12")+1)))</f>
        <v/>
      </c>
      <c r="C106" s="831" t="n"/>
      <c r="D106" s="865">
        <f>IF($A106="","",MAX(1,INDEX(Equipment!$O$7:$O$18,(COUNTIF(Equipment!$V$7:$V$18,"&lt;12")+1))))</f>
        <v/>
      </c>
      <c r="E106" s="807" t="n"/>
      <c r="F106" s="807" t="n"/>
      <c r="G106" s="807" t="n"/>
      <c r="H106" s="807" t="n"/>
      <c r="I106" s="871">
        <f>N($C106)*MAX(1,N($D106))*2</f>
        <v/>
      </c>
      <c r="J106" s="871">
        <f>N($C106)*MAX(1,N($D106))</f>
        <v/>
      </c>
      <c r="K106" s="871">
        <f>N($C106)*MAX(1,N($D106))</f>
        <v/>
      </c>
      <c r="L106" s="871">
        <f>N($C106)</f>
        <v/>
      </c>
      <c r="M106" s="871">
        <f>IF($H106="Yes",0,N($C106))</f>
        <v/>
      </c>
      <c r="N106" s="867">
        <f>IFERROR(N($I106)*INDEX(IF($B$6="Cu",WIRE_CU,WIRE_AL),MATCH($E106,WIRE_SIZE,0)),0)+IFERROR(N($J106)*INDEX(IF($B$6="Cu",WIRE_CU,WIRE_AL),MATCH($F106,WIRE_SIZE,0)),0)+IFERROR(N($K106)*INDEX(PVC_RATE,MATCH($G106,PVC_SIZE,0)),0)+IFERROR(N($L106)*INDEX(PVC_RATE,MATCH("(3/4"")",PVC_SIZE,0)),0)</f>
        <v/>
      </c>
      <c r="O106" s="804" t="n"/>
      <c r="P106" s="804" t="n"/>
      <c r="Q106" s="804" t="n"/>
      <c r="R106" s="804" t="n"/>
      <c r="S106" s="804" t="n"/>
      <c r="T106" s="804" t="n"/>
      <c r="U106" s="804" t="n"/>
      <c r="V106" s="804" t="n"/>
      <c r="W106" s="804" t="n"/>
      <c r="X106" s="804" t="n"/>
    </row>
    <row r="107" hidden="1" outlineLevel="1" ht="16" customHeight="1" s="254">
      <c r="A107" s="862">
        <f>IF(N(Equipment!$B$38)&gt;=13,"Dispenser 13","")</f>
        <v/>
      </c>
      <c r="B107" s="863">
        <f>IF($A107="","","Line "&amp;(COUNTIF(Equipment!$V$7:$V$18,"&lt;13")+1)&amp;" cabinet "&amp;ROUNDUP((13-INDEX(Equipment!$U$7:$U$18,(COUNTIF(Equipment!$V$7:$V$18,"&lt;13")+1))+1)/MAX(1,INDEX(Equipment!$N$7:$N$18,(COUNTIF(Equipment!$V$7:$V$18,"&lt;13")+1))),0)&amp;" — "&amp;INDEX(Equipment!$C$7:$C$18,(COUNTIF(Equipment!$V$7:$V$18,"&lt;13")+1)))</f>
        <v/>
      </c>
      <c r="C107" s="831" t="n"/>
      <c r="D107" s="865">
        <f>IF($A107="","",MAX(1,INDEX(Equipment!$O$7:$O$18,(COUNTIF(Equipment!$V$7:$V$18,"&lt;13")+1))))</f>
        <v/>
      </c>
      <c r="E107" s="807" t="n"/>
      <c r="F107" s="807" t="n"/>
      <c r="G107" s="807" t="n"/>
      <c r="H107" s="807" t="n"/>
      <c r="I107" s="871">
        <f>N($C107)*MAX(1,N($D107))*2</f>
        <v/>
      </c>
      <c r="J107" s="871">
        <f>N($C107)*MAX(1,N($D107))</f>
        <v/>
      </c>
      <c r="K107" s="871">
        <f>N($C107)*MAX(1,N($D107))</f>
        <v/>
      </c>
      <c r="L107" s="871">
        <f>N($C107)</f>
        <v/>
      </c>
      <c r="M107" s="871">
        <f>IF($H107="Yes",0,N($C107))</f>
        <v/>
      </c>
      <c r="N107" s="867">
        <f>IFERROR(N($I107)*INDEX(IF($B$6="Cu",WIRE_CU,WIRE_AL),MATCH($E107,WIRE_SIZE,0)),0)+IFERROR(N($J107)*INDEX(IF($B$6="Cu",WIRE_CU,WIRE_AL),MATCH($F107,WIRE_SIZE,0)),0)+IFERROR(N($K107)*INDEX(PVC_RATE,MATCH($G107,PVC_SIZE,0)),0)+IFERROR(N($L107)*INDEX(PVC_RATE,MATCH("(3/4"")",PVC_SIZE,0)),0)</f>
        <v/>
      </c>
      <c r="O107" s="804" t="n"/>
      <c r="P107" s="804" t="n"/>
      <c r="Q107" s="804" t="n"/>
      <c r="R107" s="804" t="n"/>
      <c r="S107" s="804" t="n"/>
      <c r="T107" s="804" t="n"/>
      <c r="U107" s="804" t="n"/>
      <c r="V107" s="804" t="n"/>
      <c r="W107" s="804" t="n"/>
      <c r="X107" s="804" t="n"/>
    </row>
    <row r="108" hidden="1" outlineLevel="1" ht="16" customHeight="1" s="254">
      <c r="A108" s="862">
        <f>IF(N(Equipment!$B$38)&gt;=14,"Dispenser 14","")</f>
        <v/>
      </c>
      <c r="B108" s="863">
        <f>IF($A108="","","Line "&amp;(COUNTIF(Equipment!$V$7:$V$18,"&lt;14")+1)&amp;" cabinet "&amp;ROUNDUP((14-INDEX(Equipment!$U$7:$U$18,(COUNTIF(Equipment!$V$7:$V$18,"&lt;14")+1))+1)/MAX(1,INDEX(Equipment!$N$7:$N$18,(COUNTIF(Equipment!$V$7:$V$18,"&lt;14")+1))),0)&amp;" — "&amp;INDEX(Equipment!$C$7:$C$18,(COUNTIF(Equipment!$V$7:$V$18,"&lt;14")+1)))</f>
        <v/>
      </c>
      <c r="C108" s="831" t="n"/>
      <c r="D108" s="865">
        <f>IF($A108="","",MAX(1,INDEX(Equipment!$O$7:$O$18,(COUNTIF(Equipment!$V$7:$V$18,"&lt;14")+1))))</f>
        <v/>
      </c>
      <c r="E108" s="807" t="n"/>
      <c r="F108" s="807" t="n"/>
      <c r="G108" s="807" t="n"/>
      <c r="H108" s="807" t="n"/>
      <c r="I108" s="871">
        <f>N($C108)*MAX(1,N($D108))*2</f>
        <v/>
      </c>
      <c r="J108" s="871">
        <f>N($C108)*MAX(1,N($D108))</f>
        <v/>
      </c>
      <c r="K108" s="871">
        <f>N($C108)*MAX(1,N($D108))</f>
        <v/>
      </c>
      <c r="L108" s="871">
        <f>N($C108)</f>
        <v/>
      </c>
      <c r="M108" s="871">
        <f>IF($H108="Yes",0,N($C108))</f>
        <v/>
      </c>
      <c r="N108" s="867">
        <f>IFERROR(N($I108)*INDEX(IF($B$6="Cu",WIRE_CU,WIRE_AL),MATCH($E108,WIRE_SIZE,0)),0)+IFERROR(N($J108)*INDEX(IF($B$6="Cu",WIRE_CU,WIRE_AL),MATCH($F108,WIRE_SIZE,0)),0)+IFERROR(N($K108)*INDEX(PVC_RATE,MATCH($G108,PVC_SIZE,0)),0)+IFERROR(N($L108)*INDEX(PVC_RATE,MATCH("(3/4"")",PVC_SIZE,0)),0)</f>
        <v/>
      </c>
      <c r="O108" s="804" t="n"/>
      <c r="P108" s="804" t="n"/>
      <c r="Q108" s="804" t="n"/>
      <c r="R108" s="804" t="n"/>
      <c r="S108" s="804" t="n"/>
      <c r="T108" s="804" t="n"/>
      <c r="U108" s="804" t="n"/>
      <c r="V108" s="804" t="n"/>
      <c r="W108" s="804" t="n"/>
      <c r="X108" s="804" t="n"/>
    </row>
    <row r="109" hidden="1" outlineLevel="1" ht="16" customHeight="1" s="254">
      <c r="A109" s="862">
        <f>IF(N(Equipment!$B$38)&gt;=15,"Dispenser 15","")</f>
        <v/>
      </c>
      <c r="B109" s="863">
        <f>IF($A109="","","Line "&amp;(COUNTIF(Equipment!$V$7:$V$18,"&lt;15")+1)&amp;" cabinet "&amp;ROUNDUP((15-INDEX(Equipment!$U$7:$U$18,(COUNTIF(Equipment!$V$7:$V$18,"&lt;15")+1))+1)/MAX(1,INDEX(Equipment!$N$7:$N$18,(COUNTIF(Equipment!$V$7:$V$18,"&lt;15")+1))),0)&amp;" — "&amp;INDEX(Equipment!$C$7:$C$18,(COUNTIF(Equipment!$V$7:$V$18,"&lt;15")+1)))</f>
        <v/>
      </c>
      <c r="C109" s="831" t="n"/>
      <c r="D109" s="865">
        <f>IF($A109="","",MAX(1,INDEX(Equipment!$O$7:$O$18,(COUNTIF(Equipment!$V$7:$V$18,"&lt;15")+1))))</f>
        <v/>
      </c>
      <c r="E109" s="807" t="n"/>
      <c r="F109" s="807" t="n"/>
      <c r="G109" s="807" t="n"/>
      <c r="H109" s="807" t="n"/>
      <c r="I109" s="871">
        <f>N($C109)*MAX(1,N($D109))*2</f>
        <v/>
      </c>
      <c r="J109" s="871">
        <f>N($C109)*MAX(1,N($D109))</f>
        <v/>
      </c>
      <c r="K109" s="871">
        <f>N($C109)*MAX(1,N($D109))</f>
        <v/>
      </c>
      <c r="L109" s="871">
        <f>N($C109)</f>
        <v/>
      </c>
      <c r="M109" s="871">
        <f>IF($H109="Yes",0,N($C109))</f>
        <v/>
      </c>
      <c r="N109" s="867">
        <f>IFERROR(N($I109)*INDEX(IF($B$6="Cu",WIRE_CU,WIRE_AL),MATCH($E109,WIRE_SIZE,0)),0)+IFERROR(N($J109)*INDEX(IF($B$6="Cu",WIRE_CU,WIRE_AL),MATCH($F109,WIRE_SIZE,0)),0)+IFERROR(N($K109)*INDEX(PVC_RATE,MATCH($G109,PVC_SIZE,0)),0)+IFERROR(N($L109)*INDEX(PVC_RATE,MATCH("(3/4"")",PVC_SIZE,0)),0)</f>
        <v/>
      </c>
      <c r="O109" s="804" t="n"/>
      <c r="P109" s="804" t="n"/>
      <c r="Q109" s="804" t="n"/>
      <c r="R109" s="804" t="n"/>
      <c r="S109" s="804" t="n"/>
      <c r="T109" s="804" t="n"/>
      <c r="U109" s="804" t="n"/>
      <c r="V109" s="804" t="n"/>
      <c r="W109" s="804" t="n"/>
      <c r="X109" s="804" t="n"/>
    </row>
    <row r="110" hidden="1" outlineLevel="1" ht="16" customHeight="1" s="254">
      <c r="A110" s="862">
        <f>IF(N(Equipment!$B$38)&gt;=16,"Dispenser 16","")</f>
        <v/>
      </c>
      <c r="B110" s="863">
        <f>IF($A110="","","Line "&amp;(COUNTIF(Equipment!$V$7:$V$18,"&lt;16")+1)&amp;" cabinet "&amp;ROUNDUP((16-INDEX(Equipment!$U$7:$U$18,(COUNTIF(Equipment!$V$7:$V$18,"&lt;16")+1))+1)/MAX(1,INDEX(Equipment!$N$7:$N$18,(COUNTIF(Equipment!$V$7:$V$18,"&lt;16")+1))),0)&amp;" — "&amp;INDEX(Equipment!$C$7:$C$18,(COUNTIF(Equipment!$V$7:$V$18,"&lt;16")+1)))</f>
        <v/>
      </c>
      <c r="C110" s="831" t="n"/>
      <c r="D110" s="865">
        <f>IF($A110="","",MAX(1,INDEX(Equipment!$O$7:$O$18,(COUNTIF(Equipment!$V$7:$V$18,"&lt;16")+1))))</f>
        <v/>
      </c>
      <c r="E110" s="807" t="n"/>
      <c r="F110" s="807" t="n"/>
      <c r="G110" s="807" t="n"/>
      <c r="H110" s="807" t="n"/>
      <c r="I110" s="871">
        <f>N($C110)*MAX(1,N($D110))*2</f>
        <v/>
      </c>
      <c r="J110" s="871">
        <f>N($C110)*MAX(1,N($D110))</f>
        <v/>
      </c>
      <c r="K110" s="871">
        <f>N($C110)*MAX(1,N($D110))</f>
        <v/>
      </c>
      <c r="L110" s="871">
        <f>N($C110)</f>
        <v/>
      </c>
      <c r="M110" s="871">
        <f>IF($H110="Yes",0,N($C110))</f>
        <v/>
      </c>
      <c r="N110" s="867">
        <f>IFERROR(N($I110)*INDEX(IF($B$6="Cu",WIRE_CU,WIRE_AL),MATCH($E110,WIRE_SIZE,0)),0)+IFERROR(N($J110)*INDEX(IF($B$6="Cu",WIRE_CU,WIRE_AL),MATCH($F110,WIRE_SIZE,0)),0)+IFERROR(N($K110)*INDEX(PVC_RATE,MATCH($G110,PVC_SIZE,0)),0)+IFERROR(N($L110)*INDEX(PVC_RATE,MATCH("(3/4"")",PVC_SIZE,0)),0)</f>
        <v/>
      </c>
      <c r="O110" s="804" t="n"/>
      <c r="P110" s="804" t="n"/>
      <c r="Q110" s="804" t="n"/>
      <c r="R110" s="804" t="n"/>
      <c r="S110" s="804" t="n"/>
      <c r="T110" s="804" t="n"/>
      <c r="U110" s="804" t="n"/>
      <c r="V110" s="804" t="n"/>
      <c r="W110" s="804" t="n"/>
      <c r="X110" s="804" t="n"/>
    </row>
    <row r="111" hidden="1" outlineLevel="1" ht="16" customHeight="1" s="254">
      <c r="A111" s="862">
        <f>IF(N(Equipment!$B$38)&gt;=17,"Dispenser 17","")</f>
        <v/>
      </c>
      <c r="B111" s="863">
        <f>IF($A111="","","Line "&amp;(COUNTIF(Equipment!$V$7:$V$18,"&lt;17")+1)&amp;" cabinet "&amp;ROUNDUP((17-INDEX(Equipment!$U$7:$U$18,(COUNTIF(Equipment!$V$7:$V$18,"&lt;17")+1))+1)/MAX(1,INDEX(Equipment!$N$7:$N$18,(COUNTIF(Equipment!$V$7:$V$18,"&lt;17")+1))),0)&amp;" — "&amp;INDEX(Equipment!$C$7:$C$18,(COUNTIF(Equipment!$V$7:$V$18,"&lt;17")+1)))</f>
        <v/>
      </c>
      <c r="C111" s="831" t="n"/>
      <c r="D111" s="865">
        <f>IF($A111="","",MAX(1,INDEX(Equipment!$O$7:$O$18,(COUNTIF(Equipment!$V$7:$V$18,"&lt;17")+1))))</f>
        <v/>
      </c>
      <c r="E111" s="807" t="n"/>
      <c r="F111" s="807" t="n"/>
      <c r="G111" s="807" t="n"/>
      <c r="H111" s="807" t="n"/>
      <c r="I111" s="871">
        <f>N($C111)*MAX(1,N($D111))*2</f>
        <v/>
      </c>
      <c r="J111" s="871">
        <f>N($C111)*MAX(1,N($D111))</f>
        <v/>
      </c>
      <c r="K111" s="871">
        <f>N($C111)*MAX(1,N($D111))</f>
        <v/>
      </c>
      <c r="L111" s="871">
        <f>N($C111)</f>
        <v/>
      </c>
      <c r="M111" s="871">
        <f>IF($H111="Yes",0,N($C111))</f>
        <v/>
      </c>
      <c r="N111" s="867">
        <f>IFERROR(N($I111)*INDEX(IF($B$6="Cu",WIRE_CU,WIRE_AL),MATCH($E111,WIRE_SIZE,0)),0)+IFERROR(N($J111)*INDEX(IF($B$6="Cu",WIRE_CU,WIRE_AL),MATCH($F111,WIRE_SIZE,0)),0)+IFERROR(N($K111)*INDEX(PVC_RATE,MATCH($G111,PVC_SIZE,0)),0)+IFERROR(N($L111)*INDEX(PVC_RATE,MATCH("(3/4"")",PVC_SIZE,0)),0)</f>
        <v/>
      </c>
      <c r="O111" s="804" t="n"/>
      <c r="P111" s="804" t="n"/>
      <c r="Q111" s="804" t="n"/>
      <c r="R111" s="804" t="n"/>
      <c r="S111" s="804" t="n"/>
      <c r="T111" s="804" t="n"/>
      <c r="U111" s="804" t="n"/>
      <c r="V111" s="804" t="n"/>
      <c r="W111" s="804" t="n"/>
      <c r="X111" s="804" t="n"/>
    </row>
    <row r="112" hidden="1" outlineLevel="1" ht="16" customHeight="1" s="254">
      <c r="A112" s="862">
        <f>IF(N(Equipment!$B$38)&gt;=18,"Dispenser 18","")</f>
        <v/>
      </c>
      <c r="B112" s="863">
        <f>IF($A112="","","Line "&amp;(COUNTIF(Equipment!$V$7:$V$18,"&lt;18")+1)&amp;" cabinet "&amp;ROUNDUP((18-INDEX(Equipment!$U$7:$U$18,(COUNTIF(Equipment!$V$7:$V$18,"&lt;18")+1))+1)/MAX(1,INDEX(Equipment!$N$7:$N$18,(COUNTIF(Equipment!$V$7:$V$18,"&lt;18")+1))),0)&amp;" — "&amp;INDEX(Equipment!$C$7:$C$18,(COUNTIF(Equipment!$V$7:$V$18,"&lt;18")+1)))</f>
        <v/>
      </c>
      <c r="C112" s="831" t="n"/>
      <c r="D112" s="865">
        <f>IF($A112="","",MAX(1,INDEX(Equipment!$O$7:$O$18,(COUNTIF(Equipment!$V$7:$V$18,"&lt;18")+1))))</f>
        <v/>
      </c>
      <c r="E112" s="807" t="n"/>
      <c r="F112" s="807" t="n"/>
      <c r="G112" s="807" t="n"/>
      <c r="H112" s="807" t="n"/>
      <c r="I112" s="871">
        <f>N($C112)*MAX(1,N($D112))*2</f>
        <v/>
      </c>
      <c r="J112" s="871">
        <f>N($C112)*MAX(1,N($D112))</f>
        <v/>
      </c>
      <c r="K112" s="871">
        <f>N($C112)*MAX(1,N($D112))</f>
        <v/>
      </c>
      <c r="L112" s="871">
        <f>N($C112)</f>
        <v/>
      </c>
      <c r="M112" s="871">
        <f>IF($H112="Yes",0,N($C112))</f>
        <v/>
      </c>
      <c r="N112" s="867">
        <f>IFERROR(N($I112)*INDEX(IF($B$6="Cu",WIRE_CU,WIRE_AL),MATCH($E112,WIRE_SIZE,0)),0)+IFERROR(N($J112)*INDEX(IF($B$6="Cu",WIRE_CU,WIRE_AL),MATCH($F112,WIRE_SIZE,0)),0)+IFERROR(N($K112)*INDEX(PVC_RATE,MATCH($G112,PVC_SIZE,0)),0)+IFERROR(N($L112)*INDEX(PVC_RATE,MATCH("(3/4"")",PVC_SIZE,0)),0)</f>
        <v/>
      </c>
      <c r="O112" s="804" t="n"/>
      <c r="P112" s="804" t="n"/>
      <c r="Q112" s="804" t="n"/>
      <c r="R112" s="804" t="n"/>
      <c r="S112" s="804" t="n"/>
      <c r="T112" s="804" t="n"/>
      <c r="U112" s="804" t="n"/>
      <c r="V112" s="804" t="n"/>
      <c r="W112" s="804" t="n"/>
      <c r="X112" s="804" t="n"/>
    </row>
    <row r="113" hidden="1" outlineLevel="1" ht="16" customHeight="1" s="254">
      <c r="A113" s="862">
        <f>IF(N(Equipment!$B$38)&gt;=19,"Dispenser 19","")</f>
        <v/>
      </c>
      <c r="B113" s="863">
        <f>IF($A113="","","Line "&amp;(COUNTIF(Equipment!$V$7:$V$18,"&lt;19")+1)&amp;" cabinet "&amp;ROUNDUP((19-INDEX(Equipment!$U$7:$U$18,(COUNTIF(Equipment!$V$7:$V$18,"&lt;19")+1))+1)/MAX(1,INDEX(Equipment!$N$7:$N$18,(COUNTIF(Equipment!$V$7:$V$18,"&lt;19")+1))),0)&amp;" — "&amp;INDEX(Equipment!$C$7:$C$18,(COUNTIF(Equipment!$V$7:$V$18,"&lt;19")+1)))</f>
        <v/>
      </c>
      <c r="C113" s="831" t="n"/>
      <c r="D113" s="865">
        <f>IF($A113="","",MAX(1,INDEX(Equipment!$O$7:$O$18,(COUNTIF(Equipment!$V$7:$V$18,"&lt;19")+1))))</f>
        <v/>
      </c>
      <c r="E113" s="807" t="n"/>
      <c r="F113" s="807" t="n"/>
      <c r="G113" s="807" t="n"/>
      <c r="H113" s="807" t="n"/>
      <c r="I113" s="871">
        <f>N($C113)*MAX(1,N($D113))*2</f>
        <v/>
      </c>
      <c r="J113" s="871">
        <f>N($C113)*MAX(1,N($D113))</f>
        <v/>
      </c>
      <c r="K113" s="871">
        <f>N($C113)*MAX(1,N($D113))</f>
        <v/>
      </c>
      <c r="L113" s="871">
        <f>N($C113)</f>
        <v/>
      </c>
      <c r="M113" s="871">
        <f>IF($H113="Yes",0,N($C113))</f>
        <v/>
      </c>
      <c r="N113" s="867">
        <f>IFERROR(N($I113)*INDEX(IF($B$6="Cu",WIRE_CU,WIRE_AL),MATCH($E113,WIRE_SIZE,0)),0)+IFERROR(N($J113)*INDEX(IF($B$6="Cu",WIRE_CU,WIRE_AL),MATCH($F113,WIRE_SIZE,0)),0)+IFERROR(N($K113)*INDEX(PVC_RATE,MATCH($G113,PVC_SIZE,0)),0)+IFERROR(N($L113)*INDEX(PVC_RATE,MATCH("(3/4"")",PVC_SIZE,0)),0)</f>
        <v/>
      </c>
      <c r="O113" s="804" t="n"/>
      <c r="P113" s="804" t="n"/>
      <c r="Q113" s="804" t="n"/>
      <c r="R113" s="804" t="n"/>
      <c r="S113" s="804" t="n"/>
      <c r="T113" s="804" t="n"/>
      <c r="U113" s="804" t="n"/>
      <c r="V113" s="804" t="n"/>
      <c r="W113" s="804" t="n"/>
      <c r="X113" s="804" t="n"/>
    </row>
    <row r="114" hidden="1" outlineLevel="1" ht="16" customHeight="1" s="254">
      <c r="A114" s="862">
        <f>IF(N(Equipment!$B$38)&gt;=20,"Dispenser 20","")</f>
        <v/>
      </c>
      <c r="B114" s="863">
        <f>IF($A114="","","Line "&amp;(COUNTIF(Equipment!$V$7:$V$18,"&lt;20")+1)&amp;" cabinet "&amp;ROUNDUP((20-INDEX(Equipment!$U$7:$U$18,(COUNTIF(Equipment!$V$7:$V$18,"&lt;20")+1))+1)/MAX(1,INDEX(Equipment!$N$7:$N$18,(COUNTIF(Equipment!$V$7:$V$18,"&lt;20")+1))),0)&amp;" — "&amp;INDEX(Equipment!$C$7:$C$18,(COUNTIF(Equipment!$V$7:$V$18,"&lt;20")+1)))</f>
        <v/>
      </c>
      <c r="C114" s="831" t="n"/>
      <c r="D114" s="865">
        <f>IF($A114="","",MAX(1,INDEX(Equipment!$O$7:$O$18,(COUNTIF(Equipment!$V$7:$V$18,"&lt;20")+1))))</f>
        <v/>
      </c>
      <c r="E114" s="807" t="n"/>
      <c r="F114" s="807" t="n"/>
      <c r="G114" s="807" t="n"/>
      <c r="H114" s="807" t="n"/>
      <c r="I114" s="871">
        <f>N($C114)*MAX(1,N($D114))*2</f>
        <v/>
      </c>
      <c r="J114" s="871">
        <f>N($C114)*MAX(1,N($D114))</f>
        <v/>
      </c>
      <c r="K114" s="871">
        <f>N($C114)*MAX(1,N($D114))</f>
        <v/>
      </c>
      <c r="L114" s="871">
        <f>N($C114)</f>
        <v/>
      </c>
      <c r="M114" s="871">
        <f>IF($H114="Yes",0,N($C114))</f>
        <v/>
      </c>
      <c r="N114" s="867">
        <f>IFERROR(N($I114)*INDEX(IF($B$6="Cu",WIRE_CU,WIRE_AL),MATCH($E114,WIRE_SIZE,0)),0)+IFERROR(N($J114)*INDEX(IF($B$6="Cu",WIRE_CU,WIRE_AL),MATCH($F114,WIRE_SIZE,0)),0)+IFERROR(N($K114)*INDEX(PVC_RATE,MATCH($G114,PVC_SIZE,0)),0)+IFERROR(N($L114)*INDEX(PVC_RATE,MATCH("(3/4"")",PVC_SIZE,0)),0)</f>
        <v/>
      </c>
      <c r="O114" s="804" t="n"/>
      <c r="P114" s="804" t="n"/>
      <c r="Q114" s="804" t="n"/>
      <c r="R114" s="804" t="n"/>
      <c r="S114" s="804" t="n"/>
      <c r="T114" s="804" t="n"/>
      <c r="U114" s="804" t="n"/>
      <c r="V114" s="804" t="n"/>
      <c r="W114" s="804" t="n"/>
      <c r="X114" s="804" t="n"/>
    </row>
    <row r="115" hidden="1" outlineLevel="1" ht="16" customHeight="1" s="254">
      <c r="A115" s="862">
        <f>IF(N(Equipment!$B$38)&gt;=21,"Dispenser 21","")</f>
        <v/>
      </c>
      <c r="B115" s="863">
        <f>IF($A115="","","Line "&amp;(COUNTIF(Equipment!$V$7:$V$18,"&lt;21")+1)&amp;" cabinet "&amp;ROUNDUP((21-INDEX(Equipment!$U$7:$U$18,(COUNTIF(Equipment!$V$7:$V$18,"&lt;21")+1))+1)/MAX(1,INDEX(Equipment!$N$7:$N$18,(COUNTIF(Equipment!$V$7:$V$18,"&lt;21")+1))),0)&amp;" — "&amp;INDEX(Equipment!$C$7:$C$18,(COUNTIF(Equipment!$V$7:$V$18,"&lt;21")+1)))</f>
        <v/>
      </c>
      <c r="C115" s="831" t="n"/>
      <c r="D115" s="865">
        <f>IF($A115="","",MAX(1,INDEX(Equipment!$O$7:$O$18,(COUNTIF(Equipment!$V$7:$V$18,"&lt;21")+1))))</f>
        <v/>
      </c>
      <c r="E115" s="807" t="n"/>
      <c r="F115" s="807" t="n"/>
      <c r="G115" s="807" t="n"/>
      <c r="H115" s="807" t="n"/>
      <c r="I115" s="871">
        <f>N($C115)*MAX(1,N($D115))*2</f>
        <v/>
      </c>
      <c r="J115" s="871">
        <f>N($C115)*MAX(1,N($D115))</f>
        <v/>
      </c>
      <c r="K115" s="871">
        <f>N($C115)*MAX(1,N($D115))</f>
        <v/>
      </c>
      <c r="L115" s="871">
        <f>N($C115)</f>
        <v/>
      </c>
      <c r="M115" s="871">
        <f>IF($H115="Yes",0,N($C115))</f>
        <v/>
      </c>
      <c r="N115" s="867">
        <f>IFERROR(N($I115)*INDEX(IF($B$6="Cu",WIRE_CU,WIRE_AL),MATCH($E115,WIRE_SIZE,0)),0)+IFERROR(N($J115)*INDEX(IF($B$6="Cu",WIRE_CU,WIRE_AL),MATCH($F115,WIRE_SIZE,0)),0)+IFERROR(N($K115)*INDEX(PVC_RATE,MATCH($G115,PVC_SIZE,0)),0)+IFERROR(N($L115)*INDEX(PVC_RATE,MATCH("(3/4"")",PVC_SIZE,0)),0)</f>
        <v/>
      </c>
      <c r="O115" s="804" t="n"/>
      <c r="P115" s="804" t="n"/>
      <c r="Q115" s="804" t="n"/>
      <c r="R115" s="804" t="n"/>
      <c r="S115" s="804" t="n"/>
      <c r="T115" s="804" t="n"/>
      <c r="U115" s="804" t="n"/>
      <c r="V115" s="804" t="n"/>
      <c r="W115" s="804" t="n"/>
      <c r="X115" s="804" t="n"/>
    </row>
    <row r="116" hidden="1" outlineLevel="1" ht="16" customHeight="1" s="254">
      <c r="A116" s="862">
        <f>IF(N(Equipment!$B$38)&gt;=22,"Dispenser 22","")</f>
        <v/>
      </c>
      <c r="B116" s="863">
        <f>IF($A116="","","Line "&amp;(COUNTIF(Equipment!$V$7:$V$18,"&lt;22")+1)&amp;" cabinet "&amp;ROUNDUP((22-INDEX(Equipment!$U$7:$U$18,(COUNTIF(Equipment!$V$7:$V$18,"&lt;22")+1))+1)/MAX(1,INDEX(Equipment!$N$7:$N$18,(COUNTIF(Equipment!$V$7:$V$18,"&lt;22")+1))),0)&amp;" — "&amp;INDEX(Equipment!$C$7:$C$18,(COUNTIF(Equipment!$V$7:$V$18,"&lt;22")+1)))</f>
        <v/>
      </c>
      <c r="C116" s="831" t="n"/>
      <c r="D116" s="865">
        <f>IF($A116="","",MAX(1,INDEX(Equipment!$O$7:$O$18,(COUNTIF(Equipment!$V$7:$V$18,"&lt;22")+1))))</f>
        <v/>
      </c>
      <c r="E116" s="807" t="n"/>
      <c r="F116" s="807" t="n"/>
      <c r="G116" s="807" t="n"/>
      <c r="H116" s="807" t="n"/>
      <c r="I116" s="871">
        <f>N($C116)*MAX(1,N($D116))*2</f>
        <v/>
      </c>
      <c r="J116" s="871">
        <f>N($C116)*MAX(1,N($D116))</f>
        <v/>
      </c>
      <c r="K116" s="871">
        <f>N($C116)*MAX(1,N($D116))</f>
        <v/>
      </c>
      <c r="L116" s="871">
        <f>N($C116)</f>
        <v/>
      </c>
      <c r="M116" s="871">
        <f>IF($H116="Yes",0,N($C116))</f>
        <v/>
      </c>
      <c r="N116" s="867">
        <f>IFERROR(N($I116)*INDEX(IF($B$6="Cu",WIRE_CU,WIRE_AL),MATCH($E116,WIRE_SIZE,0)),0)+IFERROR(N($J116)*INDEX(IF($B$6="Cu",WIRE_CU,WIRE_AL),MATCH($F116,WIRE_SIZE,0)),0)+IFERROR(N($K116)*INDEX(PVC_RATE,MATCH($G116,PVC_SIZE,0)),0)+IFERROR(N($L116)*INDEX(PVC_RATE,MATCH("(3/4"")",PVC_SIZE,0)),0)</f>
        <v/>
      </c>
      <c r="O116" s="804" t="n"/>
      <c r="P116" s="804" t="n"/>
      <c r="Q116" s="804" t="n"/>
      <c r="R116" s="804" t="n"/>
      <c r="S116" s="804" t="n"/>
      <c r="T116" s="804" t="n"/>
      <c r="U116" s="804" t="n"/>
      <c r="V116" s="804" t="n"/>
      <c r="W116" s="804" t="n"/>
      <c r="X116" s="804" t="n"/>
    </row>
    <row r="117" hidden="1" outlineLevel="1" ht="16" customHeight="1" s="254">
      <c r="A117" s="862">
        <f>IF(N(Equipment!$B$38)&gt;=23,"Dispenser 23","")</f>
        <v/>
      </c>
      <c r="B117" s="863">
        <f>IF($A117="","","Line "&amp;(COUNTIF(Equipment!$V$7:$V$18,"&lt;23")+1)&amp;" cabinet "&amp;ROUNDUP((23-INDEX(Equipment!$U$7:$U$18,(COUNTIF(Equipment!$V$7:$V$18,"&lt;23")+1))+1)/MAX(1,INDEX(Equipment!$N$7:$N$18,(COUNTIF(Equipment!$V$7:$V$18,"&lt;23")+1))),0)&amp;" — "&amp;INDEX(Equipment!$C$7:$C$18,(COUNTIF(Equipment!$V$7:$V$18,"&lt;23")+1)))</f>
        <v/>
      </c>
      <c r="C117" s="831" t="n"/>
      <c r="D117" s="865">
        <f>IF($A117="","",MAX(1,INDEX(Equipment!$O$7:$O$18,(COUNTIF(Equipment!$V$7:$V$18,"&lt;23")+1))))</f>
        <v/>
      </c>
      <c r="E117" s="807" t="n"/>
      <c r="F117" s="807" t="n"/>
      <c r="G117" s="807" t="n"/>
      <c r="H117" s="807" t="n"/>
      <c r="I117" s="871">
        <f>N($C117)*MAX(1,N($D117))*2</f>
        <v/>
      </c>
      <c r="J117" s="871">
        <f>N($C117)*MAX(1,N($D117))</f>
        <v/>
      </c>
      <c r="K117" s="871">
        <f>N($C117)*MAX(1,N($D117))</f>
        <v/>
      </c>
      <c r="L117" s="871">
        <f>N($C117)</f>
        <v/>
      </c>
      <c r="M117" s="871">
        <f>IF($H117="Yes",0,N($C117))</f>
        <v/>
      </c>
      <c r="N117" s="867">
        <f>IFERROR(N($I117)*INDEX(IF($B$6="Cu",WIRE_CU,WIRE_AL),MATCH($E117,WIRE_SIZE,0)),0)+IFERROR(N($J117)*INDEX(IF($B$6="Cu",WIRE_CU,WIRE_AL),MATCH($F117,WIRE_SIZE,0)),0)+IFERROR(N($K117)*INDEX(PVC_RATE,MATCH($G117,PVC_SIZE,0)),0)+IFERROR(N($L117)*INDEX(PVC_RATE,MATCH("(3/4"")",PVC_SIZE,0)),0)</f>
        <v/>
      </c>
      <c r="O117" s="804" t="n"/>
      <c r="P117" s="804" t="n"/>
      <c r="Q117" s="804" t="n"/>
      <c r="R117" s="804" t="n"/>
      <c r="S117" s="804" t="n"/>
      <c r="T117" s="804" t="n"/>
      <c r="U117" s="804" t="n"/>
      <c r="V117" s="804" t="n"/>
      <c r="W117" s="804" t="n"/>
      <c r="X117" s="804" t="n"/>
    </row>
    <row r="118" hidden="1" outlineLevel="1" ht="16" customHeight="1" s="254">
      <c r="A118" s="862">
        <f>IF(N(Equipment!$B$38)&gt;=24,"Dispenser 24","")</f>
        <v/>
      </c>
      <c r="B118" s="863">
        <f>IF($A118="","","Line "&amp;(COUNTIF(Equipment!$V$7:$V$18,"&lt;24")+1)&amp;" cabinet "&amp;ROUNDUP((24-INDEX(Equipment!$U$7:$U$18,(COUNTIF(Equipment!$V$7:$V$18,"&lt;24")+1))+1)/MAX(1,INDEX(Equipment!$N$7:$N$18,(COUNTIF(Equipment!$V$7:$V$18,"&lt;24")+1))),0)&amp;" — "&amp;INDEX(Equipment!$C$7:$C$18,(COUNTIF(Equipment!$V$7:$V$18,"&lt;24")+1)))</f>
        <v/>
      </c>
      <c r="C118" s="831" t="n"/>
      <c r="D118" s="865">
        <f>IF($A118="","",MAX(1,INDEX(Equipment!$O$7:$O$18,(COUNTIF(Equipment!$V$7:$V$18,"&lt;24")+1))))</f>
        <v/>
      </c>
      <c r="E118" s="807" t="n"/>
      <c r="F118" s="807" t="n"/>
      <c r="G118" s="807" t="n"/>
      <c r="H118" s="807" t="n"/>
      <c r="I118" s="871">
        <f>N($C118)*MAX(1,N($D118))*2</f>
        <v/>
      </c>
      <c r="J118" s="871">
        <f>N($C118)*MAX(1,N($D118))</f>
        <v/>
      </c>
      <c r="K118" s="871">
        <f>N($C118)*MAX(1,N($D118))</f>
        <v/>
      </c>
      <c r="L118" s="871">
        <f>N($C118)</f>
        <v/>
      </c>
      <c r="M118" s="871">
        <f>IF($H118="Yes",0,N($C118))</f>
        <v/>
      </c>
      <c r="N118" s="867">
        <f>IFERROR(N($I118)*INDEX(IF($B$6="Cu",WIRE_CU,WIRE_AL),MATCH($E118,WIRE_SIZE,0)),0)+IFERROR(N($J118)*INDEX(IF($B$6="Cu",WIRE_CU,WIRE_AL),MATCH($F118,WIRE_SIZE,0)),0)+IFERROR(N($K118)*INDEX(PVC_RATE,MATCH($G118,PVC_SIZE,0)),0)+IFERROR(N($L118)*INDEX(PVC_RATE,MATCH("(3/4"")",PVC_SIZE,0)),0)</f>
        <v/>
      </c>
      <c r="O118" s="804" t="n"/>
      <c r="P118" s="804" t="n"/>
      <c r="Q118" s="804" t="n"/>
      <c r="R118" s="804" t="n"/>
      <c r="S118" s="804" t="n"/>
      <c r="T118" s="804" t="n"/>
      <c r="U118" s="804" t="n"/>
      <c r="V118" s="804" t="n"/>
      <c r="W118" s="804" t="n"/>
      <c r="X118" s="804" t="n"/>
    </row>
    <row r="119" hidden="1" outlineLevel="1" ht="16" customHeight="1" s="254">
      <c r="A119" s="862">
        <f>IF(N(Equipment!$B$38)&gt;=25,"Dispenser 25","")</f>
        <v/>
      </c>
      <c r="B119" s="863">
        <f>IF($A119="","","Line "&amp;(COUNTIF(Equipment!$V$7:$V$18,"&lt;25")+1)&amp;" cabinet "&amp;ROUNDUP((25-INDEX(Equipment!$U$7:$U$18,(COUNTIF(Equipment!$V$7:$V$18,"&lt;25")+1))+1)/MAX(1,INDEX(Equipment!$N$7:$N$18,(COUNTIF(Equipment!$V$7:$V$18,"&lt;25")+1))),0)&amp;" — "&amp;INDEX(Equipment!$C$7:$C$18,(COUNTIF(Equipment!$V$7:$V$18,"&lt;25")+1)))</f>
        <v/>
      </c>
      <c r="C119" s="831" t="n"/>
      <c r="D119" s="865">
        <f>IF($A119="","",MAX(1,INDEX(Equipment!$O$7:$O$18,(COUNTIF(Equipment!$V$7:$V$18,"&lt;25")+1))))</f>
        <v/>
      </c>
      <c r="E119" s="807" t="n"/>
      <c r="F119" s="807" t="n"/>
      <c r="G119" s="807" t="n"/>
      <c r="H119" s="807" t="n"/>
      <c r="I119" s="871">
        <f>N($C119)*MAX(1,N($D119))*2</f>
        <v/>
      </c>
      <c r="J119" s="871">
        <f>N($C119)*MAX(1,N($D119))</f>
        <v/>
      </c>
      <c r="K119" s="871">
        <f>N($C119)*MAX(1,N($D119))</f>
        <v/>
      </c>
      <c r="L119" s="871">
        <f>N($C119)</f>
        <v/>
      </c>
      <c r="M119" s="871">
        <f>IF($H119="Yes",0,N($C119))</f>
        <v/>
      </c>
      <c r="N119" s="867">
        <f>IFERROR(N($I119)*INDEX(IF($B$6="Cu",WIRE_CU,WIRE_AL),MATCH($E119,WIRE_SIZE,0)),0)+IFERROR(N($J119)*INDEX(IF($B$6="Cu",WIRE_CU,WIRE_AL),MATCH($F119,WIRE_SIZE,0)),0)+IFERROR(N($K119)*INDEX(PVC_RATE,MATCH($G119,PVC_SIZE,0)),0)+IFERROR(N($L119)*INDEX(PVC_RATE,MATCH("(3/4"")",PVC_SIZE,0)),0)</f>
        <v/>
      </c>
      <c r="O119" s="804" t="n"/>
      <c r="P119" s="804" t="n"/>
      <c r="Q119" s="804" t="n"/>
      <c r="R119" s="804" t="n"/>
      <c r="S119" s="804" t="n"/>
      <c r="T119" s="804" t="n"/>
      <c r="U119" s="804" t="n"/>
      <c r="V119" s="804" t="n"/>
      <c r="W119" s="804" t="n"/>
      <c r="X119" s="804" t="n"/>
    </row>
    <row r="120" hidden="1" outlineLevel="1" ht="16" customHeight="1" s="254">
      <c r="A120" s="862">
        <f>IF(N(Equipment!$B$38)&gt;=26,"Dispenser 26","")</f>
        <v/>
      </c>
      <c r="B120" s="863">
        <f>IF($A120="","","Line "&amp;(COUNTIF(Equipment!$V$7:$V$18,"&lt;26")+1)&amp;" cabinet "&amp;ROUNDUP((26-INDEX(Equipment!$U$7:$U$18,(COUNTIF(Equipment!$V$7:$V$18,"&lt;26")+1))+1)/MAX(1,INDEX(Equipment!$N$7:$N$18,(COUNTIF(Equipment!$V$7:$V$18,"&lt;26")+1))),0)&amp;" — "&amp;INDEX(Equipment!$C$7:$C$18,(COUNTIF(Equipment!$V$7:$V$18,"&lt;26")+1)))</f>
        <v/>
      </c>
      <c r="C120" s="831" t="n"/>
      <c r="D120" s="865">
        <f>IF($A120="","",MAX(1,INDEX(Equipment!$O$7:$O$18,(COUNTIF(Equipment!$V$7:$V$18,"&lt;26")+1))))</f>
        <v/>
      </c>
      <c r="E120" s="807" t="n"/>
      <c r="F120" s="807" t="n"/>
      <c r="G120" s="807" t="n"/>
      <c r="H120" s="807" t="n"/>
      <c r="I120" s="871">
        <f>N($C120)*MAX(1,N($D120))*2</f>
        <v/>
      </c>
      <c r="J120" s="871">
        <f>N($C120)*MAX(1,N($D120))</f>
        <v/>
      </c>
      <c r="K120" s="871">
        <f>N($C120)*MAX(1,N($D120))</f>
        <v/>
      </c>
      <c r="L120" s="871">
        <f>N($C120)</f>
        <v/>
      </c>
      <c r="M120" s="871">
        <f>IF($H120="Yes",0,N($C120))</f>
        <v/>
      </c>
      <c r="N120" s="867">
        <f>IFERROR(N($I120)*INDEX(IF($B$6="Cu",WIRE_CU,WIRE_AL),MATCH($E120,WIRE_SIZE,0)),0)+IFERROR(N($J120)*INDEX(IF($B$6="Cu",WIRE_CU,WIRE_AL),MATCH($F120,WIRE_SIZE,0)),0)+IFERROR(N($K120)*INDEX(PVC_RATE,MATCH($G120,PVC_SIZE,0)),0)+IFERROR(N($L120)*INDEX(PVC_RATE,MATCH("(3/4"")",PVC_SIZE,0)),0)</f>
        <v/>
      </c>
      <c r="O120" s="804" t="n"/>
      <c r="P120" s="804" t="n"/>
      <c r="Q120" s="804" t="n"/>
      <c r="R120" s="804" t="n"/>
      <c r="S120" s="804" t="n"/>
      <c r="T120" s="804" t="n"/>
      <c r="U120" s="804" t="n"/>
      <c r="V120" s="804" t="n"/>
      <c r="W120" s="804" t="n"/>
      <c r="X120" s="804" t="n"/>
    </row>
    <row r="121" hidden="1" outlineLevel="1" ht="16" customHeight="1" s="254">
      <c r="A121" s="862">
        <f>IF(N(Equipment!$B$38)&gt;=27,"Dispenser 27","")</f>
        <v/>
      </c>
      <c r="B121" s="863">
        <f>IF($A121="","","Line "&amp;(COUNTIF(Equipment!$V$7:$V$18,"&lt;27")+1)&amp;" cabinet "&amp;ROUNDUP((27-INDEX(Equipment!$U$7:$U$18,(COUNTIF(Equipment!$V$7:$V$18,"&lt;27")+1))+1)/MAX(1,INDEX(Equipment!$N$7:$N$18,(COUNTIF(Equipment!$V$7:$V$18,"&lt;27")+1))),0)&amp;" — "&amp;INDEX(Equipment!$C$7:$C$18,(COUNTIF(Equipment!$V$7:$V$18,"&lt;27")+1)))</f>
        <v/>
      </c>
      <c r="C121" s="831" t="n"/>
      <c r="D121" s="865">
        <f>IF($A121="","",MAX(1,INDEX(Equipment!$O$7:$O$18,(COUNTIF(Equipment!$V$7:$V$18,"&lt;27")+1))))</f>
        <v/>
      </c>
      <c r="E121" s="807" t="n"/>
      <c r="F121" s="807" t="n"/>
      <c r="G121" s="807" t="n"/>
      <c r="H121" s="807" t="n"/>
      <c r="I121" s="871">
        <f>N($C121)*MAX(1,N($D121))*2</f>
        <v/>
      </c>
      <c r="J121" s="871">
        <f>N($C121)*MAX(1,N($D121))</f>
        <v/>
      </c>
      <c r="K121" s="871">
        <f>N($C121)*MAX(1,N($D121))</f>
        <v/>
      </c>
      <c r="L121" s="871">
        <f>N($C121)</f>
        <v/>
      </c>
      <c r="M121" s="871">
        <f>IF($H121="Yes",0,N($C121))</f>
        <v/>
      </c>
      <c r="N121" s="867">
        <f>IFERROR(N($I121)*INDEX(IF($B$6="Cu",WIRE_CU,WIRE_AL),MATCH($E121,WIRE_SIZE,0)),0)+IFERROR(N($J121)*INDEX(IF($B$6="Cu",WIRE_CU,WIRE_AL),MATCH($F121,WIRE_SIZE,0)),0)+IFERROR(N($K121)*INDEX(PVC_RATE,MATCH($G121,PVC_SIZE,0)),0)+IFERROR(N($L121)*INDEX(PVC_RATE,MATCH("(3/4"")",PVC_SIZE,0)),0)</f>
        <v/>
      </c>
      <c r="O121" s="804" t="n"/>
      <c r="P121" s="804" t="n"/>
      <c r="Q121" s="804" t="n"/>
      <c r="R121" s="804" t="n"/>
      <c r="S121" s="804" t="n"/>
      <c r="T121" s="804" t="n"/>
      <c r="U121" s="804" t="n"/>
      <c r="V121" s="804" t="n"/>
      <c r="W121" s="804" t="n"/>
      <c r="X121" s="804" t="n"/>
    </row>
    <row r="122" hidden="1" outlineLevel="1" ht="16" customHeight="1" s="254">
      <c r="A122" s="862">
        <f>IF(N(Equipment!$B$38)&gt;=28,"Dispenser 28","")</f>
        <v/>
      </c>
      <c r="B122" s="863">
        <f>IF($A122="","","Line "&amp;(COUNTIF(Equipment!$V$7:$V$18,"&lt;28")+1)&amp;" cabinet "&amp;ROUNDUP((28-INDEX(Equipment!$U$7:$U$18,(COUNTIF(Equipment!$V$7:$V$18,"&lt;28")+1))+1)/MAX(1,INDEX(Equipment!$N$7:$N$18,(COUNTIF(Equipment!$V$7:$V$18,"&lt;28")+1))),0)&amp;" — "&amp;INDEX(Equipment!$C$7:$C$18,(COUNTIF(Equipment!$V$7:$V$18,"&lt;28")+1)))</f>
        <v/>
      </c>
      <c r="C122" s="831" t="n"/>
      <c r="D122" s="865">
        <f>IF($A122="","",MAX(1,INDEX(Equipment!$O$7:$O$18,(COUNTIF(Equipment!$V$7:$V$18,"&lt;28")+1))))</f>
        <v/>
      </c>
      <c r="E122" s="807" t="n"/>
      <c r="F122" s="807" t="n"/>
      <c r="G122" s="807" t="n"/>
      <c r="H122" s="807" t="n"/>
      <c r="I122" s="871">
        <f>N($C122)*MAX(1,N($D122))*2</f>
        <v/>
      </c>
      <c r="J122" s="871">
        <f>N($C122)*MAX(1,N($D122))</f>
        <v/>
      </c>
      <c r="K122" s="871">
        <f>N($C122)*MAX(1,N($D122))</f>
        <v/>
      </c>
      <c r="L122" s="871">
        <f>N($C122)</f>
        <v/>
      </c>
      <c r="M122" s="871">
        <f>IF($H122="Yes",0,N($C122))</f>
        <v/>
      </c>
      <c r="N122" s="867">
        <f>IFERROR(N($I122)*INDEX(IF($B$6="Cu",WIRE_CU,WIRE_AL),MATCH($E122,WIRE_SIZE,0)),0)+IFERROR(N($J122)*INDEX(IF($B$6="Cu",WIRE_CU,WIRE_AL),MATCH($F122,WIRE_SIZE,0)),0)+IFERROR(N($K122)*INDEX(PVC_RATE,MATCH($G122,PVC_SIZE,0)),0)+IFERROR(N($L122)*INDEX(PVC_RATE,MATCH("(3/4"")",PVC_SIZE,0)),0)</f>
        <v/>
      </c>
      <c r="O122" s="804" t="n"/>
      <c r="P122" s="804" t="n"/>
      <c r="Q122" s="804" t="n"/>
      <c r="R122" s="804" t="n"/>
      <c r="S122" s="804" t="n"/>
      <c r="T122" s="804" t="n"/>
      <c r="U122" s="804" t="n"/>
      <c r="V122" s="804" t="n"/>
      <c r="W122" s="804" t="n"/>
      <c r="X122" s="804" t="n"/>
    </row>
    <row r="123" hidden="1" outlineLevel="1" ht="16" customHeight="1" s="254">
      <c r="A123" s="862">
        <f>IF(N(Equipment!$B$38)&gt;=29,"Dispenser 29","")</f>
        <v/>
      </c>
      <c r="B123" s="863">
        <f>IF($A123="","","Line "&amp;(COUNTIF(Equipment!$V$7:$V$18,"&lt;29")+1)&amp;" cabinet "&amp;ROUNDUP((29-INDEX(Equipment!$U$7:$U$18,(COUNTIF(Equipment!$V$7:$V$18,"&lt;29")+1))+1)/MAX(1,INDEX(Equipment!$N$7:$N$18,(COUNTIF(Equipment!$V$7:$V$18,"&lt;29")+1))),0)&amp;" — "&amp;INDEX(Equipment!$C$7:$C$18,(COUNTIF(Equipment!$V$7:$V$18,"&lt;29")+1)))</f>
        <v/>
      </c>
      <c r="C123" s="831" t="n"/>
      <c r="D123" s="865">
        <f>IF($A123="","",MAX(1,INDEX(Equipment!$O$7:$O$18,(COUNTIF(Equipment!$V$7:$V$18,"&lt;29")+1))))</f>
        <v/>
      </c>
      <c r="E123" s="807" t="n"/>
      <c r="F123" s="807" t="n"/>
      <c r="G123" s="807" t="n"/>
      <c r="H123" s="807" t="n"/>
      <c r="I123" s="871">
        <f>N($C123)*MAX(1,N($D123))*2</f>
        <v/>
      </c>
      <c r="J123" s="871">
        <f>N($C123)*MAX(1,N($D123))</f>
        <v/>
      </c>
      <c r="K123" s="871">
        <f>N($C123)*MAX(1,N($D123))</f>
        <v/>
      </c>
      <c r="L123" s="871">
        <f>N($C123)</f>
        <v/>
      </c>
      <c r="M123" s="871">
        <f>IF($H123="Yes",0,N($C123))</f>
        <v/>
      </c>
      <c r="N123" s="867">
        <f>IFERROR(N($I123)*INDEX(IF($B$6="Cu",WIRE_CU,WIRE_AL),MATCH($E123,WIRE_SIZE,0)),0)+IFERROR(N($J123)*INDEX(IF($B$6="Cu",WIRE_CU,WIRE_AL),MATCH($F123,WIRE_SIZE,0)),0)+IFERROR(N($K123)*INDEX(PVC_RATE,MATCH($G123,PVC_SIZE,0)),0)+IFERROR(N($L123)*INDEX(PVC_RATE,MATCH("(3/4"")",PVC_SIZE,0)),0)</f>
        <v/>
      </c>
      <c r="O123" s="804" t="n"/>
      <c r="P123" s="804" t="n"/>
      <c r="Q123" s="804" t="n"/>
      <c r="R123" s="804" t="n"/>
      <c r="S123" s="804" t="n"/>
      <c r="T123" s="804" t="n"/>
      <c r="U123" s="804" t="n"/>
      <c r="V123" s="804" t="n"/>
      <c r="W123" s="804" t="n"/>
      <c r="X123" s="804" t="n"/>
    </row>
    <row r="124" hidden="1" outlineLevel="1" ht="16" customHeight="1" s="254">
      <c r="A124" s="862">
        <f>IF(N(Equipment!$B$38)&gt;=30,"Dispenser 30","")</f>
        <v/>
      </c>
      <c r="B124" s="863">
        <f>IF($A124="","","Line "&amp;(COUNTIF(Equipment!$V$7:$V$18,"&lt;30")+1)&amp;" cabinet "&amp;ROUNDUP((30-INDEX(Equipment!$U$7:$U$18,(COUNTIF(Equipment!$V$7:$V$18,"&lt;30")+1))+1)/MAX(1,INDEX(Equipment!$N$7:$N$18,(COUNTIF(Equipment!$V$7:$V$18,"&lt;30")+1))),0)&amp;" — "&amp;INDEX(Equipment!$C$7:$C$18,(COUNTIF(Equipment!$V$7:$V$18,"&lt;30")+1)))</f>
        <v/>
      </c>
      <c r="C124" s="831" t="n"/>
      <c r="D124" s="865">
        <f>IF($A124="","",MAX(1,INDEX(Equipment!$O$7:$O$18,(COUNTIF(Equipment!$V$7:$V$18,"&lt;30")+1))))</f>
        <v/>
      </c>
      <c r="E124" s="807" t="n"/>
      <c r="F124" s="807" t="n"/>
      <c r="G124" s="807" t="n"/>
      <c r="H124" s="807" t="n"/>
      <c r="I124" s="871">
        <f>N($C124)*MAX(1,N($D124))*2</f>
        <v/>
      </c>
      <c r="J124" s="871">
        <f>N($C124)*MAX(1,N($D124))</f>
        <v/>
      </c>
      <c r="K124" s="871">
        <f>N($C124)*MAX(1,N($D124))</f>
        <v/>
      </c>
      <c r="L124" s="871">
        <f>N($C124)</f>
        <v/>
      </c>
      <c r="M124" s="871">
        <f>IF($H124="Yes",0,N($C124))</f>
        <v/>
      </c>
      <c r="N124" s="867">
        <f>IFERROR(N($I124)*INDEX(IF($B$6="Cu",WIRE_CU,WIRE_AL),MATCH($E124,WIRE_SIZE,0)),0)+IFERROR(N($J124)*INDEX(IF($B$6="Cu",WIRE_CU,WIRE_AL),MATCH($F124,WIRE_SIZE,0)),0)+IFERROR(N($K124)*INDEX(PVC_RATE,MATCH($G124,PVC_SIZE,0)),0)+IFERROR(N($L124)*INDEX(PVC_RATE,MATCH("(3/4"")",PVC_SIZE,0)),0)</f>
        <v/>
      </c>
      <c r="O124" s="804" t="n"/>
      <c r="P124" s="804" t="n"/>
      <c r="Q124" s="804" t="n"/>
      <c r="R124" s="804" t="n"/>
      <c r="S124" s="804" t="n"/>
      <c r="T124" s="804" t="n"/>
      <c r="U124" s="804" t="n"/>
      <c r="V124" s="804" t="n"/>
      <c r="W124" s="804" t="n"/>
      <c r="X124" s="804" t="n"/>
    </row>
    <row r="125" hidden="1" outlineLevel="1" ht="16" customHeight="1" s="254">
      <c r="A125" s="862">
        <f>IF(N(Equipment!$B$38)&gt;=31,"Dispenser 31","")</f>
        <v/>
      </c>
      <c r="B125" s="863">
        <f>IF($A125="","","Line "&amp;(COUNTIF(Equipment!$V$7:$V$18,"&lt;31")+1)&amp;" cabinet "&amp;ROUNDUP((31-INDEX(Equipment!$U$7:$U$18,(COUNTIF(Equipment!$V$7:$V$18,"&lt;31")+1))+1)/MAX(1,INDEX(Equipment!$N$7:$N$18,(COUNTIF(Equipment!$V$7:$V$18,"&lt;31")+1))),0)&amp;" — "&amp;INDEX(Equipment!$C$7:$C$18,(COUNTIF(Equipment!$V$7:$V$18,"&lt;31")+1)))</f>
        <v/>
      </c>
      <c r="C125" s="831" t="n"/>
      <c r="D125" s="865">
        <f>IF($A125="","",MAX(1,INDEX(Equipment!$O$7:$O$18,(COUNTIF(Equipment!$V$7:$V$18,"&lt;31")+1))))</f>
        <v/>
      </c>
      <c r="E125" s="807" t="n"/>
      <c r="F125" s="807" t="n"/>
      <c r="G125" s="807" t="n"/>
      <c r="H125" s="807" t="n"/>
      <c r="I125" s="871">
        <f>N($C125)*MAX(1,N($D125))*2</f>
        <v/>
      </c>
      <c r="J125" s="871">
        <f>N($C125)*MAX(1,N($D125))</f>
        <v/>
      </c>
      <c r="K125" s="871">
        <f>N($C125)*MAX(1,N($D125))</f>
        <v/>
      </c>
      <c r="L125" s="871">
        <f>N($C125)</f>
        <v/>
      </c>
      <c r="M125" s="871">
        <f>IF($H125="Yes",0,N($C125))</f>
        <v/>
      </c>
      <c r="N125" s="867">
        <f>IFERROR(N($I125)*INDEX(IF($B$6="Cu",WIRE_CU,WIRE_AL),MATCH($E125,WIRE_SIZE,0)),0)+IFERROR(N($J125)*INDEX(IF($B$6="Cu",WIRE_CU,WIRE_AL),MATCH($F125,WIRE_SIZE,0)),0)+IFERROR(N($K125)*INDEX(PVC_RATE,MATCH($G125,PVC_SIZE,0)),0)+IFERROR(N($L125)*INDEX(PVC_RATE,MATCH("(3/4"")",PVC_SIZE,0)),0)</f>
        <v/>
      </c>
      <c r="O125" s="804" t="n"/>
      <c r="P125" s="804" t="n"/>
      <c r="Q125" s="804" t="n"/>
      <c r="R125" s="804" t="n"/>
      <c r="S125" s="804" t="n"/>
      <c r="T125" s="804" t="n"/>
      <c r="U125" s="804" t="n"/>
      <c r="V125" s="804" t="n"/>
      <c r="W125" s="804" t="n"/>
      <c r="X125" s="804" t="n"/>
    </row>
    <row r="126" hidden="1" outlineLevel="1" ht="16" customHeight="1" s="254">
      <c r="A126" s="862">
        <f>IF(N(Equipment!$B$38)&gt;=32,"Dispenser 32","")</f>
        <v/>
      </c>
      <c r="B126" s="863">
        <f>IF($A126="","","Line "&amp;(COUNTIF(Equipment!$V$7:$V$18,"&lt;32")+1)&amp;" cabinet "&amp;ROUNDUP((32-INDEX(Equipment!$U$7:$U$18,(COUNTIF(Equipment!$V$7:$V$18,"&lt;32")+1))+1)/MAX(1,INDEX(Equipment!$N$7:$N$18,(COUNTIF(Equipment!$V$7:$V$18,"&lt;32")+1))),0)&amp;" — "&amp;INDEX(Equipment!$C$7:$C$18,(COUNTIF(Equipment!$V$7:$V$18,"&lt;32")+1)))</f>
        <v/>
      </c>
      <c r="C126" s="831" t="n"/>
      <c r="D126" s="865">
        <f>IF($A126="","",MAX(1,INDEX(Equipment!$O$7:$O$18,(COUNTIF(Equipment!$V$7:$V$18,"&lt;32")+1))))</f>
        <v/>
      </c>
      <c r="E126" s="807" t="n"/>
      <c r="F126" s="807" t="n"/>
      <c r="G126" s="807" t="n"/>
      <c r="H126" s="807" t="n"/>
      <c r="I126" s="871">
        <f>N($C126)*MAX(1,N($D126))*2</f>
        <v/>
      </c>
      <c r="J126" s="871">
        <f>N($C126)*MAX(1,N($D126))</f>
        <v/>
      </c>
      <c r="K126" s="871">
        <f>N($C126)*MAX(1,N($D126))</f>
        <v/>
      </c>
      <c r="L126" s="871">
        <f>N($C126)</f>
        <v/>
      </c>
      <c r="M126" s="871">
        <f>IF($H126="Yes",0,N($C126))</f>
        <v/>
      </c>
      <c r="N126" s="867">
        <f>IFERROR(N($I126)*INDEX(IF($B$6="Cu",WIRE_CU,WIRE_AL),MATCH($E126,WIRE_SIZE,0)),0)+IFERROR(N($J126)*INDEX(IF($B$6="Cu",WIRE_CU,WIRE_AL),MATCH($F126,WIRE_SIZE,0)),0)+IFERROR(N($K126)*INDEX(PVC_RATE,MATCH($G126,PVC_SIZE,0)),0)+IFERROR(N($L126)*INDEX(PVC_RATE,MATCH("(3/4"")",PVC_SIZE,0)),0)</f>
        <v/>
      </c>
      <c r="O126" s="804" t="n"/>
      <c r="P126" s="804" t="n"/>
      <c r="Q126" s="804" t="n"/>
      <c r="R126" s="804" t="n"/>
      <c r="S126" s="804" t="n"/>
      <c r="T126" s="804" t="n"/>
      <c r="U126" s="804" t="n"/>
      <c r="V126" s="804" t="n"/>
      <c r="W126" s="804" t="n"/>
      <c r="X126" s="804" t="n"/>
    </row>
    <row r="127" hidden="1" outlineLevel="1" ht="16" customHeight="1" s="254">
      <c r="A127" s="794" t="inlineStr">
        <is>
          <t>TOTAL</t>
        </is>
      </c>
      <c r="B127" s="804" t="n"/>
      <c r="C127" s="872">
        <f>SUM(C95:C126)</f>
        <v/>
      </c>
      <c r="D127" s="804" t="n"/>
      <c r="E127" s="804" t="n"/>
      <c r="F127" s="804" t="n"/>
      <c r="G127" s="804" t="n"/>
      <c r="H127" s="804" t="n"/>
      <c r="I127" s="872">
        <f>SUM(I95:I126)</f>
        <v/>
      </c>
      <c r="J127" s="872">
        <f>SUM(J95:J126)</f>
        <v/>
      </c>
      <c r="K127" s="872">
        <f>SUM(K95:K126)</f>
        <v/>
      </c>
      <c r="L127" s="872">
        <f>SUM(L95:L126)</f>
        <v/>
      </c>
      <c r="M127" s="872">
        <f>SUM(M95:M126)</f>
        <v/>
      </c>
      <c r="N127" s="873">
        <f>SUM(N95:N126)</f>
        <v/>
      </c>
      <c r="O127" s="804" t="n"/>
      <c r="P127" s="804" t="n"/>
      <c r="Q127" s="804" t="n"/>
      <c r="R127" s="804" t="n"/>
      <c r="S127" s="804" t="n"/>
      <c r="T127" s="804" t="n"/>
      <c r="U127" s="804" t="n"/>
      <c r="V127" s="804" t="n"/>
      <c r="W127" s="804" t="n"/>
      <c r="X127" s="804" t="n"/>
    </row>
    <row r="128" hidden="1" outlineLevel="1" ht="31" customHeight="1" s="254">
      <c r="A128" s="781" t="inlineStr">
        <is>
          <t>DC material cost</t>
        </is>
      </c>
      <c r="B128" s="870">
        <f>$N$127</f>
        <v/>
      </c>
      <c r="C128" s="814" t="inlineStr">
        <is>
          <t>Conductor, ground, conduit and comms for every cabinet-to-dispenser run. The engine reads this row.</t>
        </is>
      </c>
      <c r="I128" s="804" t="n"/>
      <c r="J128" s="804" t="n"/>
      <c r="K128" s="804" t="n"/>
      <c r="L128" s="804" t="n"/>
      <c r="M128" s="804" t="n"/>
      <c r="N128" s="804" t="n"/>
      <c r="O128" s="804" t="n"/>
      <c r="P128" s="804" t="n"/>
      <c r="Q128" s="804" t="n"/>
      <c r="R128" s="804" t="n"/>
      <c r="S128" s="804" t="n"/>
      <c r="T128" s="804" t="n"/>
      <c r="U128" s="804" t="n"/>
      <c r="V128" s="804" t="n"/>
      <c r="W128" s="804" t="n"/>
      <c r="X128" s="804" t="n"/>
    </row>
    <row r="129" hidden="1" outlineLevel="1" ht="16" customHeight="1" s="254">
      <c r="A129" s="781" t="inlineStr">
        <is>
          <t>DC trench to cut (ft)</t>
        </is>
      </c>
      <c r="B129" s="809">
        <f>$M$127</f>
        <v/>
      </c>
      <c r="C129" s="814" t="inlineStr">
        <is>
          <t>Excludes runs sharing the AC trench.</t>
        </is>
      </c>
      <c r="I129" s="804" t="n"/>
      <c r="J129" s="804" t="n"/>
      <c r="K129" s="804" t="n"/>
      <c r="L129" s="804" t="n"/>
      <c r="M129" s="804" t="n"/>
      <c r="N129" s="804" t="n"/>
      <c r="O129" s="804" t="n"/>
      <c r="P129" s="804" t="n"/>
      <c r="Q129" s="804" t="n"/>
      <c r="R129" s="804" t="n"/>
      <c r="S129" s="804" t="n"/>
      <c r="T129" s="804" t="n"/>
      <c r="U129" s="804" t="n"/>
      <c r="V129" s="804" t="n"/>
      <c r="W129" s="804" t="n"/>
      <c r="X129" s="804" t="n"/>
    </row>
    <row r="130" hidden="1" outlineLevel="1" ht="16" customHeight="1" s="254">
      <c r="A130" s="781" t="inlineStr">
        <is>
          <t>DC trench restoration (sq ft)</t>
        </is>
      </c>
      <c r="B130" s="809">
        <f>$B$129*$B$9/12</f>
        <v/>
      </c>
      <c r="C130" s="804" t="n"/>
      <c r="D130" s="804" t="n"/>
      <c r="E130" s="804" t="n"/>
      <c r="F130" s="804" t="n"/>
      <c r="G130" s="804" t="n"/>
      <c r="H130" s="804" t="n"/>
      <c r="I130" s="804" t="n"/>
      <c r="J130" s="804" t="n"/>
      <c r="K130" s="804" t="n"/>
      <c r="L130" s="804" t="n"/>
      <c r="M130" s="804" t="n"/>
      <c r="N130" s="804" t="n"/>
      <c r="O130" s="804" t="n"/>
      <c r="P130" s="804" t="n"/>
      <c r="Q130" s="804" t="n"/>
      <c r="R130" s="804" t="n"/>
      <c r="S130" s="804" t="n"/>
      <c r="T130" s="804" t="n"/>
      <c r="U130" s="804" t="n"/>
      <c r="V130" s="804" t="n"/>
      <c r="W130" s="804" t="n"/>
      <c r="X130" s="804" t="n"/>
    </row>
    <row r="131" hidden="1" outlineLevel="1" ht="16" customHeight="1" s="254">
      <c r="A131" s="781" t="inlineStr">
        <is>
          <t>Dispensers placed</t>
        </is>
      </c>
      <c r="B131" s="809">
        <f>COUNT($C$95:$C$126)</f>
        <v/>
      </c>
      <c r="C131" s="804" t="n"/>
      <c r="D131" s="804" t="n"/>
      <c r="E131" s="804" t="n"/>
      <c r="F131" s="804" t="n"/>
      <c r="G131" s="804" t="n"/>
      <c r="H131" s="804" t="n"/>
      <c r="I131" s="804" t="n"/>
      <c r="J131" s="804" t="n"/>
      <c r="K131" s="804" t="n"/>
      <c r="L131" s="804" t="n"/>
      <c r="M131" s="804" t="n"/>
      <c r="N131" s="804" t="n"/>
      <c r="O131" s="804" t="n"/>
      <c r="P131" s="804" t="n"/>
      <c r="Q131" s="804" t="n"/>
      <c r="R131" s="804" t="n"/>
      <c r="S131" s="804" t="n"/>
      <c r="T131" s="804" t="n"/>
      <c r="U131" s="804" t="n"/>
      <c r="V131" s="804" t="n"/>
      <c r="W131" s="804" t="n"/>
      <c r="X131" s="804" t="n"/>
    </row>
    <row r="132" hidden="1" outlineLevel="1" ht="16" customHeight="1" s="254">
      <c r="A132" s="781" t="inlineStr">
        <is>
          <t>Placement matches the schedule?</t>
        </is>
      </c>
      <c r="B132" s="810">
        <f>IF(N(Equipment!$B$38)=0,"n/a — no dispensers on this project",IF(COUNT($C$95:$C$126)&lt;&gt;Equipment!$B$38,"MISMATCH — "&amp;TEXT(Equipment!$B$38,"0")&amp;" dispensers on the Equipment tab against "&amp;TEXT(COUNT($C$95:$C$126),"0")&amp;" with a distance here","OK — every dispenser has a run"))</f>
        <v/>
      </c>
      <c r="C132" s="804" t="n"/>
      <c r="D132" s="804" t="n"/>
      <c r="E132" s="804" t="n"/>
      <c r="F132" s="804" t="n"/>
      <c r="G132" s="804" t="n"/>
      <c r="H132" s="804" t="n"/>
      <c r="I132" s="804" t="n"/>
      <c r="J132" s="804" t="n"/>
      <c r="K132" s="804" t="n"/>
      <c r="L132" s="804" t="n"/>
      <c r="M132" s="804" t="n"/>
      <c r="N132" s="804" t="n"/>
      <c r="O132" s="804" t="n"/>
      <c r="P132" s="804" t="n"/>
      <c r="Q132" s="804" t="n"/>
      <c r="R132" s="804" t="n"/>
      <c r="S132" s="804" t="n"/>
      <c r="T132" s="804" t="n"/>
      <c r="U132" s="804" t="n"/>
      <c r="V132" s="804" t="n"/>
      <c r="W132" s="804" t="n"/>
      <c r="X132" s="804" t="n"/>
    </row>
    <row r="133" hidden="1" outlineLevel="1" ht="16" customHeight="1" s="254">
      <c r="A133" s="781" t="inlineStr">
        <is>
          <t>Longest DC run (ft)</t>
        </is>
      </c>
      <c r="B133" s="809">
        <f>IF(COUNT($C$95:$C$126)=0,0,MAX($C$95:$C$126))</f>
        <v/>
      </c>
      <c r="C133" s="814" t="inlineStr">
        <is>
          <t>The binding constraint on voltage drop.</t>
        </is>
      </c>
      <c r="I133" s="804" t="n"/>
      <c r="J133" s="804" t="n"/>
      <c r="K133" s="804" t="n"/>
      <c r="L133" s="804" t="n"/>
      <c r="M133" s="804" t="n"/>
      <c r="N133" s="804" t="n"/>
      <c r="O133" s="804" t="n"/>
      <c r="P133" s="804" t="n"/>
      <c r="Q133" s="804" t="n"/>
      <c r="R133" s="804" t="n"/>
      <c r="S133" s="804" t="n"/>
      <c r="T133" s="804" t="n"/>
      <c r="U133" s="804" t="n"/>
      <c r="V133" s="804" t="n"/>
      <c r="W133" s="804" t="n"/>
      <c r="X133" s="804" t="n"/>
    </row>
    <row r="134" hidden="1" outlineLevel="1" ht="16" customHeight="1" s="254">
      <c r="A134" s="781" t="inlineStr">
        <is>
          <t>Every DC run sized and costed?</t>
        </is>
      </c>
      <c r="B134" s="810">
        <f>IF(COUNT($C$95:$C$126)=0,"n/a — no dispensers scheduled",IF(SUMPRODUCT(--($C$95:$C$126&gt;0),--($N$95:$N$126=0))&gt;0,"A RUN HAS A DISTANCE BUT NO MATERIAL COST — pick its conductor, ground and conduit","OK — every run with a distance carries a material cost"))</f>
        <v/>
      </c>
      <c r="C134" s="804" t="n"/>
      <c r="D134" s="804" t="n"/>
      <c r="E134" s="804" t="n"/>
      <c r="F134" s="804" t="n"/>
      <c r="G134" s="804" t="n"/>
      <c r="H134" s="804" t="n"/>
      <c r="I134" s="804" t="n"/>
      <c r="J134" s="804" t="n"/>
      <c r="K134" s="804" t="n"/>
      <c r="L134" s="804" t="n"/>
      <c r="M134" s="804" t="n"/>
      <c r="N134" s="804" t="n"/>
      <c r="O134" s="804" t="n"/>
      <c r="P134" s="804" t="n"/>
      <c r="Q134" s="804" t="n"/>
      <c r="R134" s="804" t="n"/>
      <c r="S134" s="804" t="n"/>
      <c r="T134" s="804" t="n"/>
      <c r="U134" s="804" t="n"/>
      <c r="V134" s="804" t="n"/>
      <c r="W134" s="804" t="n"/>
      <c r="X134" s="804" t="n"/>
    </row>
    <row r="135" hidden="1" outlineLevel="1" ht="16" customHeight="1" s="254">
      <c r="A135" s="811" t="n"/>
      <c r="B135" s="804" t="n"/>
      <c r="C135" s="804" t="n"/>
      <c r="D135" s="804" t="n"/>
      <c r="E135" s="804" t="n"/>
      <c r="F135" s="804" t="n"/>
      <c r="G135" s="804" t="n"/>
      <c r="H135" s="804" t="n"/>
      <c r="I135" s="804" t="n"/>
      <c r="J135" s="804" t="n"/>
      <c r="K135" s="804" t="n"/>
      <c r="L135" s="804" t="n"/>
      <c r="M135" s="804" t="n"/>
      <c r="N135" s="804" t="n"/>
      <c r="O135" s="804" t="n"/>
      <c r="P135" s="804" t="n"/>
      <c r="Q135" s="804" t="n"/>
      <c r="R135" s="804" t="n"/>
      <c r="S135" s="804" t="n"/>
      <c r="T135" s="804" t="n"/>
      <c r="U135" s="804" t="n"/>
      <c r="V135" s="804" t="n"/>
      <c r="W135" s="804" t="n"/>
      <c r="X135" s="804" t="n"/>
    </row>
    <row r="136" ht="19.75" customHeight="1" s="254">
      <c r="A136" s="798" t="inlineStr">
        <is>
          <t>D · SERVICE AND SWITCHGEAR</t>
        </is>
      </c>
      <c r="I136" s="804" t="n"/>
      <c r="J136" s="804" t="n"/>
      <c r="K136" s="804" t="n"/>
      <c r="L136" s="804" t="n"/>
      <c r="M136" s="804" t="n"/>
      <c r="N136" s="804" t="n"/>
      <c r="O136" s="804" t="n"/>
      <c r="P136" s="804" t="n"/>
      <c r="Q136" s="804" t="n"/>
      <c r="R136" s="804" t="n"/>
      <c r="S136" s="804" t="n"/>
      <c r="T136" s="804" t="n"/>
      <c r="U136" s="804" t="n"/>
      <c r="V136" s="804" t="n"/>
      <c r="W136" s="804" t="n"/>
      <c r="X136" s="804" t="n"/>
    </row>
    <row r="137" ht="56" customHeight="1" s="254">
      <c r="A137" s="781" t="inlineStr">
        <is>
          <t>Connected load (kW)</t>
        </is>
      </c>
      <c r="B137" s="874">
        <f>IF($B$144="Yes",IF(N($B$145)=0,Equipment!$B$23,MIN(Equipment!$B$23,N($B$145))),Equipment!$B$23)</f>
        <v/>
      </c>
      <c r="C137" s="814" t="inlineStr">
        <is>
          <t>Full nameplate from the equipment schedule, or the managed cap when load management is proposed and a cap is entered. Sizing to a managed maximum needs an energy management system under NEC 750 and the engineer's sign-off.</t>
        </is>
      </c>
      <c r="I137" s="804" t="n"/>
      <c r="J137" s="804" t="n"/>
      <c r="K137" s="804" t="n"/>
      <c r="L137" s="804" t="n"/>
      <c r="M137" s="804" t="n"/>
      <c r="N137" s="804" t="n"/>
      <c r="O137" s="804" t="n"/>
      <c r="P137" s="804" t="n"/>
      <c r="Q137" s="804" t="n"/>
      <c r="R137" s="804" t="n"/>
      <c r="S137" s="804" t="n"/>
      <c r="T137" s="804" t="n"/>
      <c r="U137" s="804" t="n"/>
      <c r="V137" s="804" t="n"/>
      <c r="W137" s="804" t="n"/>
      <c r="X137" s="804" t="n"/>
    </row>
    <row r="138" ht="31" customHeight="1" s="254">
      <c r="A138" s="781" t="inlineStr">
        <is>
          <t>Design current at service voltage (A)</t>
        </is>
      </c>
      <c r="B138" s="809">
        <f>IF(N($B$137)=0,"",$B$137*1000/(Project!$B$29*SQRT(3)))</f>
        <v/>
      </c>
      <c r="C138" s="814" t="inlineStr">
        <is>
          <t>kW x 1000 / (V x sqrt 3)</t>
        </is>
      </c>
      <c r="I138" s="804" t="n"/>
      <c r="J138" s="804" t="n"/>
      <c r="K138" s="804" t="n"/>
      <c r="L138" s="804" t="n"/>
      <c r="M138" s="804" t="n"/>
      <c r="N138" s="804" t="n"/>
      <c r="O138" s="804" t="n"/>
      <c r="P138" s="804" t="n"/>
      <c r="Q138" s="804" t="n"/>
      <c r="R138" s="804" t="n"/>
      <c r="S138" s="804" t="n"/>
      <c r="T138" s="804" t="n"/>
      <c r="U138" s="804" t="n"/>
      <c r="V138" s="804" t="n"/>
      <c r="W138" s="804" t="n"/>
      <c r="X138" s="804" t="n"/>
    </row>
    <row r="139" ht="16" customHeight="1" s="254">
      <c r="A139" s="781" t="inlineStr">
        <is>
          <t>Required OCPD at 125% (A)</t>
        </is>
      </c>
      <c r="B139" s="809">
        <f>IF(N($B$138)=0,"",N($B$138)*1.25)</f>
        <v/>
      </c>
      <c r="C139" s="814" t="inlineStr">
        <is>
          <t>NEC continuous-load rule</t>
        </is>
      </c>
      <c r="I139" s="804" t="n"/>
      <c r="J139" s="804" t="n"/>
      <c r="K139" s="804" t="n"/>
      <c r="L139" s="804" t="n"/>
      <c r="M139" s="804" t="n"/>
      <c r="N139" s="804" t="n"/>
      <c r="O139" s="804" t="n"/>
      <c r="P139" s="804" t="n"/>
      <c r="Q139" s="804" t="n"/>
      <c r="R139" s="804" t="n"/>
      <c r="S139" s="804" t="n"/>
      <c r="T139" s="804" t="n"/>
      <c r="U139" s="804" t="n"/>
      <c r="V139" s="804" t="n"/>
      <c r="W139" s="804" t="n"/>
      <c r="X139" s="804" t="n"/>
    </row>
    <row r="140" ht="43.5" customHeight="1" s="254">
      <c r="A140" s="781" t="inlineStr">
        <is>
          <t>Service boards in the lineup</t>
        </is>
      </c>
      <c r="B140" s="818" t="n">
        <v>1</v>
      </c>
      <c r="C140" s="814" t="inlineStr">
        <is>
          <t>One unless the service is split. Above roughly 4,000 A it usually is: NEC 230.71 allows up to six service disconnects in separate enclosures, and the frame below is sized PER BOARD.</t>
        </is>
      </c>
      <c r="I140" s="804" t="n"/>
      <c r="J140" s="804" t="n"/>
      <c r="K140" s="804" t="n"/>
      <c r="L140" s="804" t="n"/>
      <c r="M140" s="804" t="n"/>
      <c r="N140" s="804" t="n"/>
      <c r="O140" s="804" t="n"/>
      <c r="P140" s="804" t="n"/>
      <c r="Q140" s="804" t="n"/>
      <c r="R140" s="804" t="n"/>
      <c r="S140" s="804" t="n"/>
      <c r="T140" s="804" t="n"/>
      <c r="U140" s="804" t="n"/>
      <c r="V140" s="804" t="n"/>
      <c r="W140" s="804" t="n"/>
      <c r="X140" s="804" t="n"/>
    </row>
    <row r="141" ht="31" customHeight="1" s="254">
      <c r="A141" s="781" t="inlineStr">
        <is>
          <t>Standard frame required per board (A)</t>
        </is>
      </c>
      <c r="B141" s="809">
        <f>IF(N($B$139)=0,"",IFERROR(INDEX(RefData!$B$4:$B$16,MATCH(N($B$139)/MAX(1,N($B$140)),RefData!$A$4:$A$16,1)),"check the frame table"))</f>
        <v/>
      </c>
      <c r="C141" s="814" t="inlineStr">
        <is>
          <t>The required device divided across the boards, rounded up to the next standard frame.</t>
        </is>
      </c>
      <c r="I141" s="804" t="n"/>
      <c r="J141" s="804" t="n"/>
      <c r="K141" s="804" t="n"/>
      <c r="L141" s="804" t="n"/>
      <c r="M141" s="804" t="n"/>
      <c r="N141" s="804" t="n"/>
      <c r="O141" s="804" t="n"/>
      <c r="P141" s="804" t="n"/>
      <c r="Q141" s="804" t="n"/>
      <c r="R141" s="804" t="n"/>
      <c r="S141" s="804" t="n"/>
      <c r="T141" s="804" t="n"/>
      <c r="U141" s="804" t="n"/>
      <c r="V141" s="804" t="n"/>
      <c r="W141" s="804" t="n"/>
      <c r="X141" s="804" t="n"/>
    </row>
    <row r="142" ht="16" customHeight="1" s="254">
      <c r="A142" s="781" t="inlineStr">
        <is>
          <t>Switchgear size being priced (A)</t>
        </is>
      </c>
      <c r="B142" s="818" t="n">
        <v>3200</v>
      </c>
      <c r="C142" s="814" t="inlineStr">
        <is>
          <t>Type the frame you are actually quoting, per board.</t>
        </is>
      </c>
      <c r="I142" s="804" t="n"/>
      <c r="J142" s="804" t="n"/>
      <c r="K142" s="804" t="n"/>
      <c r="L142" s="804" t="n"/>
      <c r="M142" s="804" t="n"/>
      <c r="N142" s="804" t="n"/>
      <c r="O142" s="804" t="n"/>
      <c r="P142" s="804" t="n"/>
      <c r="Q142" s="804" t="n"/>
      <c r="R142" s="804" t="n"/>
      <c r="S142" s="804" t="n"/>
      <c r="T142" s="804" t="n"/>
      <c r="U142" s="804" t="n"/>
      <c r="V142" s="804" t="n"/>
      <c r="W142" s="804" t="n"/>
      <c r="X142" s="804" t="n"/>
    </row>
    <row r="143" ht="93.5" customHeight="1" s="254">
      <c r="A143" s="781" t="inlineStr">
        <is>
          <t>Switchgear adequate?</t>
        </is>
      </c>
      <c r="B143" s="810">
        <f>IF(Existing!$B$15="RETAIN","n/a — the switchgear is retained; its adequacy is tested on the Existing tab row 61",IF(N($B$137)=0,"no connected load on the equipment tab",IF(N($B$141)=0,"CANNOT TELL — there is a connected load but no required frame behind it",IF(N($B$142)=0,"enter the frame being priced",IF(N($B$142)&lt;N($B$141),"UNDERSIZED — "&amp;TEXT($B$142,"#,##0")&amp;" A per board against "&amp;TEXT($B$141,"#,##0")&amp;" A required on each of "&amp;TEXT(MAX(1,N($B$140)),"0")&amp;" board(s)",IF(ISNA(MATCH(TEXT($B$142,"0")&amp;"A",RefData!$B$20:$B$29,0)),"OK on size, BUT RefData carries no price for a "&amp;TEXT($B$142,"#,##0")&amp;" A frame — it needs a switchboard quote","OK — "&amp;TEXT(MAX(1,N($B$140)),"0")&amp;" x "&amp;TEXT($B$142,"#,##0")&amp;" A against "&amp;TEXT($B$141,"#,##0")&amp;" A required per board"))))))</f>
        <v/>
      </c>
      <c r="C143" s="811" t="inlineStr">
        <is>
          <t>Stands down when the Existing tab retains the switchgear — a retained board is not a priced one.</t>
        </is>
      </c>
      <c r="D143" s="804" t="n"/>
      <c r="E143" s="804" t="n"/>
      <c r="F143" s="804" t="n"/>
      <c r="G143" s="804" t="n"/>
      <c r="H143" s="804" t="n"/>
      <c r="I143" s="804" t="n"/>
      <c r="J143" s="804" t="n"/>
      <c r="K143" s="804" t="n"/>
      <c r="L143" s="804" t="n"/>
      <c r="M143" s="804" t="n"/>
      <c r="N143" s="804" t="n"/>
      <c r="O143" s="804" t="n"/>
      <c r="P143" s="804" t="n"/>
      <c r="Q143" s="804" t="n"/>
      <c r="R143" s="804" t="n"/>
      <c r="S143" s="804" t="n"/>
      <c r="T143" s="804" t="n"/>
      <c r="U143" s="804" t="n"/>
      <c r="V143" s="804" t="n"/>
      <c r="W143" s="804" t="n"/>
      <c r="X143" s="804" t="n"/>
    </row>
    <row r="144" ht="16" customHeight="1" s="254">
      <c r="A144" s="781" t="inlineStr">
        <is>
          <t>Load management proposed?</t>
        </is>
      </c>
      <c r="B144" s="799" t="inlineStr">
        <is>
          <t>No</t>
        </is>
      </c>
      <c r="C144" s="814" t="inlineStr">
        <is>
          <t>Yes caps the site draw below full nameplate for SIZING.</t>
        </is>
      </c>
      <c r="I144" s="804" t="n"/>
      <c r="J144" s="804" t="n"/>
      <c r="K144" s="804" t="n"/>
      <c r="L144" s="804" t="n"/>
      <c r="M144" s="804" t="n"/>
      <c r="N144" s="804" t="n"/>
      <c r="O144" s="804" t="n"/>
      <c r="P144" s="804" t="n"/>
      <c r="Q144" s="804" t="n"/>
      <c r="R144" s="804" t="n"/>
      <c r="S144" s="804" t="n"/>
      <c r="T144" s="804" t="n"/>
      <c r="U144" s="804" t="n"/>
      <c r="V144" s="804" t="n"/>
      <c r="W144" s="804" t="n"/>
      <c r="X144" s="804" t="n"/>
    </row>
    <row r="145" ht="43.5" customHeight="1" s="254">
      <c r="A145" s="781" t="inlineStr">
        <is>
          <t>Capped site draw (kW) if load managed</t>
        </is>
      </c>
      <c r="B145" s="818" t="n"/>
      <c r="C145" s="814" t="inlineStr">
        <is>
          <t>SIZING CAP — conductors, gear and the service are sized on this, and it drives power per charging position in the model. Leave blank if not load managed. It is NOT the billing setpoint below.</t>
        </is>
      </c>
      <c r="I145" s="804" t="n"/>
      <c r="J145" s="804" t="n"/>
      <c r="K145" s="804" t="n"/>
      <c r="L145" s="804" t="n"/>
      <c r="M145" s="804" t="n"/>
      <c r="N145" s="804" t="n"/>
      <c r="O145" s="804" t="n"/>
      <c r="P145" s="804" t="n"/>
      <c r="Q145" s="804" t="n"/>
      <c r="R145" s="804" t="n"/>
      <c r="S145" s="804" t="n"/>
      <c r="T145" s="804" t="n"/>
      <c r="U145" s="804" t="n"/>
      <c r="V145" s="804" t="n"/>
      <c r="W145" s="804" t="n"/>
      <c r="X145" s="804" t="n"/>
    </row>
    <row r="146" ht="31" customHeight="1" s="254">
      <c r="A146" s="781" t="inlineStr">
        <is>
          <t>Load management stated and capped?</t>
        </is>
      </c>
      <c r="B146" s="810">
        <f>IF($B$144&lt;&gt;"Yes","n/a — not load managed, so the site is sized on full nameplate",IF(N($B$145)=0,"LOAD MANAGED WITH NO CAP ENTERED — the sheet has fallen back to full nameplate and the frame below is sized for an unmanaged site","Sized on a managed cap of "&amp;TEXT($B$145,"#,##0")&amp;" kW against "&amp;TEXT(N(Equipment!$B$23),"#,##0")&amp;" kW of nameplate. The energy management system that enforces it is scope, and the AHJ will ask to see it."))</f>
        <v/>
      </c>
      <c r="C146" s="804" t="n"/>
      <c r="D146" s="804" t="n"/>
      <c r="E146" s="804" t="n"/>
      <c r="F146" s="804" t="n"/>
      <c r="G146" s="804" t="n"/>
      <c r="H146" s="804" t="n"/>
      <c r="I146" s="804" t="n"/>
      <c r="J146" s="804" t="n"/>
      <c r="K146" s="804" t="n"/>
      <c r="L146" s="804" t="n"/>
      <c r="M146" s="804" t="n"/>
      <c r="N146" s="804" t="n"/>
      <c r="O146" s="804" t="n"/>
      <c r="P146" s="804" t="n"/>
      <c r="Q146" s="804" t="n"/>
      <c r="R146" s="804" t="n"/>
      <c r="S146" s="804" t="n"/>
      <c r="T146" s="804" t="n"/>
      <c r="U146" s="804" t="n"/>
      <c r="V146" s="804" t="n"/>
      <c r="W146" s="804" t="n"/>
      <c r="X146" s="804" t="n"/>
    </row>
    <row r="147" ht="43.5" customHeight="1" s="254">
      <c r="A147" s="781" t="inlineStr">
        <is>
          <t>Demand-limiting setpoint (kW)</t>
        </is>
      </c>
      <c r="B147" s="818" t="n"/>
      <c r="C147" s="814" t="inlineStr">
        <is>
          <t>BILLING SETPOINT, NOT A SIZING CAP. What the energy management system holds the highest fifteen-minute site draw to. Leave blank and the model falls back to the sizing cap above.</t>
        </is>
      </c>
      <c r="I147" s="804" t="n"/>
      <c r="J147" s="804" t="n"/>
      <c r="K147" s="804" t="n"/>
      <c r="L147" s="804" t="n"/>
      <c r="M147" s="804" t="n"/>
      <c r="N147" s="804" t="n"/>
      <c r="O147" s="804" t="n"/>
      <c r="P147" s="804" t="n"/>
      <c r="Q147" s="804" t="n"/>
      <c r="R147" s="804" t="n"/>
      <c r="S147" s="804" t="n"/>
      <c r="T147" s="804" t="n"/>
      <c r="U147" s="804" t="n"/>
      <c r="V147" s="804" t="n"/>
      <c r="W147" s="804" t="n"/>
      <c r="X147" s="804" t="n"/>
    </row>
    <row r="148" ht="16" customHeight="1" s="254">
      <c r="A148" s="781" t="inlineStr">
        <is>
          <t>Point of connection</t>
        </is>
      </c>
      <c r="B148" s="799" t="inlineStr">
        <is>
          <t>Existing MSB</t>
        </is>
      </c>
      <c r="C148" s="814" t="inlineStr">
        <is>
          <t>Existing MSB / new service / pole transformer</t>
        </is>
      </c>
      <c r="I148" s="804" t="n"/>
      <c r="J148" s="804" t="n"/>
      <c r="K148" s="804" t="n"/>
      <c r="L148" s="804" t="n"/>
      <c r="M148" s="804" t="n"/>
      <c r="N148" s="804" t="n"/>
      <c r="O148" s="804" t="n"/>
      <c r="P148" s="804" t="n"/>
      <c r="Q148" s="804" t="n"/>
      <c r="R148" s="804" t="n"/>
      <c r="S148" s="804" t="n"/>
      <c r="T148" s="804" t="n"/>
      <c r="U148" s="804" t="n"/>
      <c r="V148" s="804" t="n"/>
      <c r="W148" s="804" t="n"/>
      <c r="X148" s="804" t="n"/>
    </row>
    <row r="149" ht="31" customHeight="1" s="254">
      <c r="A149" s="781" t="inlineStr">
        <is>
          <t>Spare capacity in existing gear (A)</t>
        </is>
      </c>
      <c r="B149" s="818" t="n">
        <v>200</v>
      </c>
      <c r="C149" s="814" t="inlineStr">
        <is>
          <t>0 if a new service is required. On an add-load site this is the figure on the Existing tab row 52.</t>
        </is>
      </c>
      <c r="I149" s="804" t="n"/>
      <c r="J149" s="804" t="n"/>
      <c r="K149" s="804" t="n"/>
      <c r="L149" s="804" t="n"/>
      <c r="M149" s="804" t="n"/>
      <c r="N149" s="804" t="n"/>
      <c r="O149" s="804" t="n"/>
      <c r="P149" s="804" t="n"/>
      <c r="Q149" s="804" t="n"/>
      <c r="R149" s="804" t="n"/>
      <c r="S149" s="804" t="n"/>
      <c r="T149" s="804" t="n"/>
      <c r="U149" s="804" t="n"/>
      <c r="V149" s="804" t="n"/>
      <c r="W149" s="804" t="n"/>
      <c r="X149" s="804" t="n"/>
    </row>
    <row r="150" ht="16" customHeight="1" s="254">
      <c r="A150" s="781" t="inlineStr">
        <is>
          <t>Distance, switchgear to pole (ft)</t>
        </is>
      </c>
      <c r="B150" s="818" t="n">
        <v>120</v>
      </c>
      <c r="C150" s="804" t="n"/>
      <c r="D150" s="804" t="n"/>
      <c r="E150" s="804" t="n"/>
      <c r="F150" s="804" t="n"/>
      <c r="G150" s="804" t="n"/>
      <c r="H150" s="804" t="n"/>
      <c r="I150" s="804" t="n"/>
      <c r="J150" s="804" t="n"/>
      <c r="K150" s="804" t="n"/>
      <c r="L150" s="804" t="n"/>
      <c r="M150" s="804" t="n"/>
      <c r="N150" s="804" t="n"/>
      <c r="O150" s="804" t="n"/>
      <c r="P150" s="804" t="n"/>
      <c r="Q150" s="804" t="n"/>
      <c r="R150" s="804" t="n"/>
      <c r="S150" s="804" t="n"/>
      <c r="T150" s="804" t="n"/>
      <c r="U150" s="804" t="n"/>
      <c r="V150" s="804" t="n"/>
      <c r="W150" s="804" t="n"/>
      <c r="X150" s="804" t="n"/>
    </row>
    <row r="151" ht="16" customHeight="1" s="254">
      <c r="A151" s="811" t="n"/>
      <c r="B151" s="804" t="n"/>
      <c r="C151" s="804" t="n"/>
      <c r="D151" s="804" t="n"/>
      <c r="E151" s="804" t="n"/>
      <c r="F151" s="804" t="n"/>
      <c r="G151" s="804" t="n"/>
      <c r="H151" s="804" t="n"/>
      <c r="I151" s="804" t="n"/>
      <c r="J151" s="804" t="n"/>
      <c r="K151" s="804" t="n"/>
      <c r="L151" s="804" t="n"/>
      <c r="M151" s="804" t="n"/>
      <c r="N151" s="804" t="n"/>
      <c r="O151" s="804" t="n"/>
      <c r="P151" s="804" t="n"/>
      <c r="Q151" s="804" t="n"/>
      <c r="R151" s="804" t="n"/>
      <c r="S151" s="804" t="n"/>
      <c r="T151" s="804" t="n"/>
      <c r="U151" s="804" t="n"/>
      <c r="V151" s="804" t="n"/>
      <c r="W151" s="804" t="n"/>
      <c r="X151" s="804" t="n"/>
    </row>
    <row r="152" ht="31" customHeight="1" s="254">
      <c r="A152" s="875" t="inlineStr">
        <is>
          <t>Service feeder — transformer to switchgear</t>
        </is>
      </c>
      <c r="B152" s="804" t="n"/>
      <c r="C152" s="804" t="n"/>
      <c r="D152" s="804" t="n"/>
      <c r="E152" s="804" t="n"/>
      <c r="F152" s="804" t="n"/>
      <c r="G152" s="804" t="n"/>
      <c r="H152" s="804" t="n"/>
      <c r="I152" s="804" t="n"/>
      <c r="J152" s="804" t="n"/>
      <c r="K152" s="804" t="n"/>
      <c r="L152" s="804" t="n"/>
      <c r="M152" s="804" t="n"/>
      <c r="N152" s="804" t="n"/>
      <c r="O152" s="804" t="n"/>
      <c r="P152" s="804" t="n"/>
      <c r="Q152" s="804" t="n"/>
      <c r="R152" s="804" t="n"/>
      <c r="S152" s="804" t="n"/>
      <c r="T152" s="804" t="n"/>
      <c r="U152" s="804" t="n"/>
      <c r="V152" s="804" t="n"/>
      <c r="W152" s="804" t="n"/>
      <c r="X152" s="804" t="n"/>
    </row>
    <row r="153" ht="31" customHeight="1" s="254">
      <c r="A153" s="814"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53" s="804" t="n"/>
      <c r="V153" s="804" t="n"/>
      <c r="W153" s="804" t="n"/>
      <c r="X153" s="804" t="n"/>
    </row>
    <row r="154" ht="43.5" customHeight="1" s="254">
      <c r="A154" s="781" t="inlineStr">
        <is>
          <t>Governing rule</t>
        </is>
      </c>
      <c r="B154" s="799" t="inlineStr">
        <is>
          <t>Service conductor — NEC 230.42</t>
        </is>
      </c>
      <c r="C154" s="814" t="inlineStr">
        <is>
          <t>A conductor from the utility transformer to the service disconnect is a SERVICE conductor; its overcurrent device is at the far end, so NEC 240.4(C) does not apply. A customer-side feeder takes the other option.</t>
        </is>
      </c>
      <c r="I154" s="804" t="n"/>
      <c r="J154" s="804" t="n"/>
      <c r="K154" s="804" t="n"/>
      <c r="L154" s="804" t="n"/>
      <c r="M154" s="804" t="n"/>
      <c r="N154" s="804" t="n"/>
      <c r="O154" s="804" t="n"/>
      <c r="P154" s="804" t="n"/>
      <c r="Q154" s="804" t="n"/>
      <c r="R154" s="804" t="n"/>
      <c r="S154" s="804" t="n"/>
      <c r="T154" s="804" t="n"/>
      <c r="U154" s="804" t="n"/>
      <c r="V154" s="804" t="n"/>
      <c r="W154" s="804" t="n"/>
      <c r="X154" s="804" t="n"/>
    </row>
    <row r="155" ht="43.5" customHeight="1" s="254">
      <c r="A155" s="781" t="inlineStr">
        <is>
          <t>Who provides this run?</t>
        </is>
      </c>
      <c r="B155" s="799" t="inlineStr">
        <is>
          <t>Utility — EV infrastructure rule</t>
        </is>
      </c>
      <c r="C155" s="814" t="inlineStr">
        <is>
          <t>Utility, Zero Impact Energy, or Existing — retained (an add-load or replacement site whose service feeder stays). The verdict on the run below stands down when the utility provides it or it already exists.</t>
        </is>
      </c>
      <c r="I155" s="804" t="n"/>
      <c r="J155" s="804" t="n"/>
      <c r="K155" s="804" t="n"/>
      <c r="L155" s="804" t="n"/>
      <c r="M155" s="804" t="n"/>
      <c r="N155" s="804" t="n"/>
      <c r="O155" s="804" t="n"/>
      <c r="P155" s="804" t="n"/>
      <c r="Q155" s="804" t="n"/>
      <c r="R155" s="804" t="n"/>
      <c r="S155" s="804" t="n"/>
      <c r="T155" s="804" t="n"/>
      <c r="U155" s="804" t="n"/>
      <c r="V155" s="804" t="n"/>
      <c r="W155" s="804" t="n"/>
      <c r="X155" s="804" t="n"/>
    </row>
    <row r="156" ht="31" customHeight="1" s="254">
      <c r="A156" s="781" t="inlineStr">
        <is>
          <t>Design ambient for this run (C)</t>
        </is>
      </c>
      <c r="B156" s="818" t="n"/>
      <c r="C156" s="814" t="inlineStr">
        <is>
          <t>Site data for THIS run. A buried duct bank and a run on a south wall are different numbers, and neither is a house default.</t>
        </is>
      </c>
      <c r="I156" s="804" t="n"/>
      <c r="J156" s="804" t="n"/>
      <c r="K156" s="804" t="n"/>
      <c r="L156" s="804" t="n"/>
      <c r="M156" s="804" t="n"/>
      <c r="N156" s="804" t="n"/>
      <c r="O156" s="804" t="n"/>
      <c r="P156" s="804" t="n"/>
      <c r="Q156" s="804" t="n"/>
      <c r="R156" s="804" t="n"/>
      <c r="S156" s="804" t="n"/>
      <c r="T156" s="804" t="n"/>
      <c r="U156" s="804" t="n"/>
      <c r="V156" s="804" t="n"/>
      <c r="W156" s="804" t="n"/>
      <c r="X156" s="804" t="n"/>
    </row>
    <row r="157" ht="31" customHeight="1" s="254">
      <c r="A157" s="781" t="inlineStr">
        <is>
          <t>Distance, transformer to switchgear (ft)</t>
        </is>
      </c>
      <c r="B157" s="818" t="n">
        <v>40</v>
      </c>
      <c r="C157" s="814" t="inlineStr">
        <is>
          <t>Customer-side feeder when we provide it.</t>
        </is>
      </c>
      <c r="I157" s="804" t="n"/>
      <c r="J157" s="804" t="n"/>
      <c r="K157" s="804" t="n"/>
      <c r="L157" s="804" t="n"/>
      <c r="M157" s="804" t="n"/>
      <c r="N157" s="804" t="n"/>
      <c r="O157" s="804" t="n"/>
      <c r="P157" s="804" t="n"/>
      <c r="Q157" s="804" t="n"/>
      <c r="R157" s="804" t="n"/>
      <c r="S157" s="804" t="n"/>
      <c r="T157" s="804" t="n"/>
      <c r="U157" s="804" t="n"/>
      <c r="V157" s="804" t="n"/>
      <c r="W157" s="804" t="n"/>
      <c r="X157" s="804" t="n"/>
    </row>
    <row r="158" ht="16" customHeight="1" s="254">
      <c r="A158" s="811" t="n"/>
      <c r="B158" s="804" t="n"/>
      <c r="C158" s="804" t="n"/>
      <c r="D158" s="804" t="n"/>
      <c r="E158" s="804" t="n"/>
      <c r="F158" s="804" t="n"/>
      <c r="G158" s="804" t="n"/>
      <c r="H158" s="804" t="n"/>
      <c r="I158" s="804" t="n"/>
      <c r="J158" s="804" t="n"/>
      <c r="K158" s="804" t="n"/>
      <c r="L158" s="804" t="n"/>
      <c r="M158" s="804" t="n"/>
      <c r="N158" s="804" t="n"/>
      <c r="O158" s="804" t="n"/>
      <c r="P158" s="804" t="n"/>
      <c r="Q158" s="804" t="n"/>
      <c r="R158" s="804" t="n"/>
      <c r="S158" s="804" t="n"/>
      <c r="T158" s="804" t="n"/>
      <c r="U158" s="804" t="n"/>
      <c r="V158" s="804" t="n"/>
      <c r="W158" s="804" t="n"/>
      <c r="X158" s="804" t="n"/>
    </row>
    <row r="159" ht="43.5" customHeight="1" s="254">
      <c r="A159" s="806" t="inlineStr">
        <is>
          <t>Run</t>
        </is>
      </c>
      <c r="B159" s="806" t="inlineStr">
        <is>
          <t>Conductor material</t>
        </is>
      </c>
      <c r="C159" s="806" t="inlineStr">
        <is>
          <t>Site load kW (auto)</t>
        </is>
      </c>
      <c r="D159" s="806" t="inlineStr">
        <is>
          <t>Distance (ft) (auto)</t>
        </is>
      </c>
      <c r="E159" s="806" t="inlineStr">
        <is>
          <t>Design current A (auto)</t>
        </is>
      </c>
      <c r="F159" s="806" t="inlineStr">
        <is>
          <t>Continuous 125% A (auto)</t>
        </is>
      </c>
      <c r="G159" s="806" t="inlineStr">
        <is>
          <t>OCPD A (auto)</t>
        </is>
      </c>
      <c r="H159" s="806" t="inlineStr">
        <is>
          <t>Ampacity floor A (auto)</t>
        </is>
      </c>
      <c r="I159" s="806" t="inlineStr">
        <is>
          <t>Conductor size</t>
        </is>
      </c>
      <c r="J159" s="806" t="inlineStr">
        <is>
          <t>Sets in parallel</t>
        </is>
      </c>
      <c r="K159" s="806" t="inlineStr">
        <is>
          <t>Ampacity per set, corrected (auto)</t>
        </is>
      </c>
      <c r="L159" s="806" t="inlineStr">
        <is>
          <t>Provided A (auto)</t>
        </is>
      </c>
      <c r="M159" s="806" t="inlineStr">
        <is>
          <t>Voltage drop % (auto)</t>
        </is>
      </c>
      <c r="N159" s="806" t="inlineStr">
        <is>
          <t>Verdict (auto)</t>
        </is>
      </c>
      <c r="O159" s="804" t="n"/>
      <c r="P159" s="804" t="n"/>
      <c r="Q159" s="804" t="n"/>
      <c r="R159" s="804" t="n"/>
      <c r="S159" s="804" t="n"/>
      <c r="T159" s="804" t="n"/>
      <c r="U159" s="804" t="n"/>
      <c r="V159" s="804" t="n"/>
      <c r="W159" s="804" t="n"/>
      <c r="X159" s="804" t="n"/>
    </row>
    <row r="160" ht="16" customHeight="1" s="254">
      <c r="A160" s="876" t="inlineStr">
        <is>
          <t>Transformer to switchgear</t>
        </is>
      </c>
      <c r="B160" s="807" t="n"/>
      <c r="C160" s="864">
        <f>Equipment!$B$23</f>
        <v/>
      </c>
      <c r="D160" s="865">
        <f>$B$157</f>
        <v/>
      </c>
      <c r="E160" s="865">
        <f>IF(N($C160)=0,"",N($C160)*1000/(Project!$B$29*SQRT(3))/MAX(1,N($B$140)))</f>
        <v/>
      </c>
      <c r="F160" s="865">
        <f>IF(N($E160)=0,"",N($E160)*1.25)</f>
        <v/>
      </c>
      <c r="G160" s="865">
        <f>IF(N($F160)=0,"",IF(ISNUMBER(MATCH($F160,OCPD_LIST,0)),$F160,IF($F160&gt;MAX(OCPD_LIST),"ABOVE THE LARGEST STANDARD DEVICE — a switchboard quote, probably a medium-voltage service",INDEX(OCPD_LIST,MATCH($F160,OCPD_LIST,1)+1))))</f>
        <v/>
      </c>
      <c r="H160" s="865">
        <f>IF(N($F160)=0,"",IF(LEFT($B$154,7)="Service",N($F160),IF(N($G160)&gt;800,N($G160),N($F160))))</f>
        <v/>
      </c>
      <c r="I160" s="807" t="n"/>
      <c r="J160" s="831" t="n"/>
      <c r="K160" s="865">
        <f>IF($I160="","",IFERROR(MIN(N(INDEX(AMP_TBL,MATCH($I160,AMP_SIZE,0),MATCH($B160&amp;"-"&amp;TEXT($B$11,"0"),AMP_HDR,0)))*N(INDEX(AMB_TBL,IF(ISNUMBER(MATCH($B$156,AMB_MAX,0)),MATCH($B$156,AMB_MAX,0),MATCH($B$156,AMB_MAX,1)+1),MATCH(TEXT($B$11,"0"),AMB_HDR,0))),N(INDEX(AMP_TBL,MATCH($I160,AMP_SIZE,0),MATCH($B160&amp;"-"&amp;TEXT($B$12,"0"),AMP_HDR,0)))),""))</f>
        <v/>
      </c>
      <c r="L160" s="865">
        <f>IF(N($K160)=0,"",N($K160)*MAX(1,N($J160)))</f>
        <v/>
      </c>
      <c r="M160" s="866">
        <f>IF(OR($I160="",N($D160)=0,N($E160)=0),"",IFERROR(SQRT(3)*N($E160)/MAX(1,N($J160))*N($D160)*N(INDEX(Z_TBL,MATCH($I160,Z_SIZE,0),IF($B160="Cu",1,2)))/1000/Project!$B$29,""))</f>
        <v/>
      </c>
      <c r="N160" s="863">
        <f>IF(LEFT($B$155,8)="Existing","n/a — the existing service feeder is retained, so it is not sized or costed here",IF(LEFT($B$155,7)="Utility","n/a — the serving utility provides this run under its EV infrastructure rule, so it is not sized or costed here",IF(N($C160)=0,"no connected load on the equipment tab",IF($I160="","pick a conductor size",IF(N($K160)=0,"no ampacity on file for that size and material",IF(N($J160)=0,"enter the number of parallel sets",IF(N($L160)&lt;N($H160),"UNDERSIZED — "&amp;TEXT(N($L160),"#,##0")&amp;" A provided against a floor of "&amp;TEXT(N($H160),"#,##0")&amp;" A, set by "&amp;$B$154,IF(N($M160)&gt;$B$13,"ampacity OK, but voltage drop "&amp;TEXT(N($M160),"0.00%")&amp;" exceeds the allowance — ADVISORY","OK — "&amp;TEXT(N($L160),"#,##0")&amp;" A against a "&amp;TEXT(N($H160),"#,##0")&amp;" A floor; drop "&amp;TEXT(N($M160),"0.00%")&amp;" (ADVISORY). Priced as customer-side scope.")))))))</f>
        <v/>
      </c>
      <c r="O160" s="804" t="n"/>
      <c r="P160" s="804" t="n"/>
      <c r="Q160" s="804" t="n"/>
      <c r="R160" s="804" t="n"/>
      <c r="S160" s="804" t="n"/>
      <c r="T160" s="804" t="n"/>
      <c r="U160" s="804" t="n"/>
      <c r="V160" s="804" t="n"/>
      <c r="W160" s="804" t="n"/>
      <c r="X160" s="804" t="n"/>
    </row>
    <row r="161" ht="16" customHeight="1" s="254">
      <c r="A161" s="811" t="n"/>
      <c r="B161" s="804" t="n"/>
      <c r="C161" s="804" t="n"/>
      <c r="D161" s="804" t="n"/>
      <c r="E161" s="804" t="n"/>
      <c r="F161" s="804" t="n"/>
      <c r="G161" s="804" t="n"/>
      <c r="H161" s="804" t="n"/>
      <c r="I161" s="804" t="n"/>
      <c r="J161" s="804" t="n"/>
      <c r="K161" s="804" t="n"/>
      <c r="L161" s="804" t="n"/>
      <c r="M161" s="804" t="n"/>
      <c r="N161" s="804" t="n"/>
      <c r="O161" s="804" t="n"/>
      <c r="P161" s="804" t="n"/>
      <c r="Q161" s="804" t="n"/>
      <c r="R161" s="804" t="n"/>
      <c r="S161" s="804" t="n"/>
      <c r="T161" s="804" t="n"/>
      <c r="U161" s="804" t="n"/>
      <c r="V161" s="804" t="n"/>
      <c r="W161" s="804" t="n"/>
      <c r="X161" s="804" t="n"/>
    </row>
    <row r="162" ht="19.75" customHeight="1" s="254">
      <c r="A162" s="798" t="inlineStr">
        <is>
          <t>E · DISTRIBUTION EQUIPMENT SCHEDULE</t>
        </is>
      </c>
      <c r="I162" s="804" t="n"/>
      <c r="J162" s="804" t="n"/>
      <c r="K162" s="804" t="n"/>
      <c r="L162" s="804" t="n"/>
      <c r="M162" s="804" t="n"/>
      <c r="N162" s="804" t="n"/>
      <c r="O162" s="804" t="n"/>
      <c r="P162" s="804" t="n"/>
      <c r="Q162" s="804" t="n"/>
      <c r="R162" s="804" t="n"/>
      <c r="S162" s="804" t="n"/>
      <c r="T162" s="804" t="n"/>
      <c r="U162" s="804" t="n"/>
      <c r="V162" s="804" t="n"/>
      <c r="W162" s="804" t="n"/>
      <c r="X162" s="804" t="n"/>
    </row>
    <row r="163" ht="16" customHeight="1" s="254">
      <c r="A163" s="814"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63" s="804" t="n"/>
      <c r="V163" s="804" t="n"/>
      <c r="W163" s="804" t="n"/>
      <c r="X163" s="804" t="n"/>
    </row>
    <row r="164" ht="31" customHeight="1" s="254">
      <c r="A164" s="806" t="inlineStr">
        <is>
          <t>Item</t>
        </is>
      </c>
      <c r="B164" s="806" t="inlineStr">
        <is>
          <t>Type</t>
        </is>
      </c>
      <c r="C164" s="806" t="inlineStr">
        <is>
          <t>Qty</t>
        </is>
      </c>
      <c r="D164" s="806" t="inlineStr">
        <is>
          <t>Volts</t>
        </is>
      </c>
      <c r="E164" s="806" t="inlineStr">
        <is>
          <t>Phases</t>
        </is>
      </c>
      <c r="F164" s="806" t="inlineStr">
        <is>
          <t>Rating (A or kVA)</t>
        </is>
      </c>
      <c r="G164" s="806" t="inlineStr">
        <is>
          <t>Fed from</t>
        </is>
      </c>
      <c r="H164" s="806" t="inlineStr">
        <is>
          <t>What it feeds</t>
        </is>
      </c>
      <c r="I164" s="806" t="inlineStr">
        <is>
          <t>Location</t>
        </is>
      </c>
      <c r="J164" s="806" t="inlineStr">
        <is>
          <t>Who provides</t>
        </is>
      </c>
      <c r="K164" s="806" t="inlineStr">
        <is>
          <t>Cost basis</t>
        </is>
      </c>
      <c r="L164" s="806" t="inlineStr">
        <is>
          <t>Quoted cost ($)</t>
        </is>
      </c>
      <c r="M164" s="804" t="n"/>
      <c r="N164" s="804" t="n"/>
      <c r="O164" s="804" t="n"/>
      <c r="P164" s="804" t="n"/>
      <c r="Q164" s="804" t="n"/>
      <c r="R164" s="804" t="n"/>
      <c r="S164" s="804" t="n"/>
      <c r="T164" s="804" t="n"/>
      <c r="U164" s="804" t="n"/>
      <c r="V164" s="804" t="n"/>
      <c r="W164" s="804" t="n"/>
      <c r="X164" s="804" t="n"/>
    </row>
    <row r="165" ht="16" customHeight="1" s="254">
      <c r="A165" s="877" t="inlineStr">
        <is>
          <t>EVSE disconnects</t>
        </is>
      </c>
      <c r="B165" s="807" t="inlineStr">
        <is>
          <t>EVSE disconnect</t>
        </is>
      </c>
      <c r="C165" s="831" t="n">
        <v>4</v>
      </c>
      <c r="D165" s="831" t="n">
        <v>480</v>
      </c>
      <c r="E165" s="831" t="n">
        <v>3</v>
      </c>
      <c r="F165" s="831" t="n">
        <v>600</v>
      </c>
      <c r="G165" s="807" t="inlineStr">
        <is>
          <t>MSB</t>
        </is>
      </c>
      <c r="H165" s="807" t="inlineStr">
        <is>
          <t>TP5 cabinets</t>
        </is>
      </c>
      <c r="I165" s="807" t="inlineStr">
        <is>
          <t>Pad</t>
        </is>
      </c>
      <c r="J165" s="807" t="inlineStr">
        <is>
          <t>Zero Impact Energy</t>
        </is>
      </c>
      <c r="K165" s="807" t="inlineStr">
        <is>
          <t>Vendor quote</t>
        </is>
      </c>
      <c r="L165" s="878" t="n">
        <v>12000</v>
      </c>
      <c r="M165" s="804" t="n"/>
      <c r="N165" s="804" t="n"/>
      <c r="O165" s="804" t="n"/>
      <c r="P165" s="804" t="n"/>
      <c r="Q165" s="804" t="n"/>
      <c r="R165" s="804" t="n"/>
      <c r="S165" s="804" t="n"/>
      <c r="T165" s="804" t="n"/>
      <c r="U165" s="804" t="n"/>
      <c r="V165" s="804" t="n"/>
      <c r="W165" s="804" t="n"/>
      <c r="X165" s="804" t="n"/>
    </row>
    <row r="166" ht="16" customHeight="1" s="254">
      <c r="A166" s="877" t="n"/>
      <c r="B166" s="807" t="n"/>
      <c r="C166" s="831" t="n"/>
      <c r="D166" s="831" t="n"/>
      <c r="E166" s="831" t="n"/>
      <c r="F166" s="831" t="n"/>
      <c r="G166" s="807" t="n"/>
      <c r="H166" s="807" t="n"/>
      <c r="I166" s="807" t="n"/>
      <c r="J166" s="807" t="n"/>
      <c r="K166" s="807" t="n"/>
      <c r="L166" s="878" t="n"/>
      <c r="M166" s="804" t="n"/>
      <c r="N166" s="804" t="n"/>
      <c r="O166" s="804" t="n"/>
      <c r="P166" s="804" t="n"/>
      <c r="Q166" s="804" t="n"/>
      <c r="R166" s="804" t="n"/>
      <c r="S166" s="804" t="n"/>
      <c r="T166" s="804" t="n"/>
      <c r="U166" s="804" t="n"/>
      <c r="V166" s="804" t="n"/>
      <c r="W166" s="804" t="n"/>
      <c r="X166" s="804" t="n"/>
    </row>
    <row r="167" ht="16" customHeight="1" s="254">
      <c r="A167" s="877" t="n"/>
      <c r="B167" s="807" t="n"/>
      <c r="C167" s="831" t="n"/>
      <c r="D167" s="831" t="n"/>
      <c r="E167" s="831" t="n"/>
      <c r="F167" s="831" t="n"/>
      <c r="G167" s="807" t="n"/>
      <c r="H167" s="807" t="n"/>
      <c r="I167" s="807" t="n"/>
      <c r="J167" s="807" t="n"/>
      <c r="K167" s="807" t="n"/>
      <c r="L167" s="878" t="n"/>
      <c r="M167" s="804" t="n"/>
      <c r="N167" s="804" t="n"/>
      <c r="O167" s="804" t="n"/>
      <c r="P167" s="804" t="n"/>
      <c r="Q167" s="804" t="n"/>
      <c r="R167" s="804" t="n"/>
      <c r="S167" s="804" t="n"/>
      <c r="T167" s="804" t="n"/>
      <c r="U167" s="804" t="n"/>
      <c r="V167" s="804" t="n"/>
      <c r="W167" s="804" t="n"/>
      <c r="X167" s="804" t="n"/>
    </row>
    <row r="168" ht="16" customHeight="1" s="254">
      <c r="A168" s="877" t="n"/>
      <c r="B168" s="807" t="n"/>
      <c r="C168" s="831" t="n"/>
      <c r="D168" s="831" t="n"/>
      <c r="E168" s="831" t="n"/>
      <c r="F168" s="831" t="n"/>
      <c r="G168" s="807" t="n"/>
      <c r="H168" s="807" t="n"/>
      <c r="I168" s="807" t="n"/>
      <c r="J168" s="807" t="n"/>
      <c r="K168" s="807" t="n"/>
      <c r="L168" s="878" t="n"/>
      <c r="M168" s="804" t="n"/>
      <c r="N168" s="804" t="n"/>
      <c r="O168" s="804" t="n"/>
      <c r="P168" s="804" t="n"/>
      <c r="Q168" s="804" t="n"/>
      <c r="R168" s="804" t="n"/>
      <c r="S168" s="804" t="n"/>
      <c r="T168" s="804" t="n"/>
      <c r="U168" s="804" t="n"/>
      <c r="V168" s="804" t="n"/>
      <c r="W168" s="804" t="n"/>
      <c r="X168" s="804" t="n"/>
    </row>
    <row r="169" ht="16" customHeight="1" s="254">
      <c r="A169" s="877" t="n"/>
      <c r="B169" s="807" t="n"/>
      <c r="C169" s="831" t="n"/>
      <c r="D169" s="831" t="n"/>
      <c r="E169" s="831" t="n"/>
      <c r="F169" s="831" t="n"/>
      <c r="G169" s="807" t="n"/>
      <c r="H169" s="807" t="n"/>
      <c r="I169" s="807" t="n"/>
      <c r="J169" s="807" t="n"/>
      <c r="K169" s="807" t="n"/>
      <c r="L169" s="878" t="n"/>
      <c r="M169" s="804" t="n"/>
      <c r="N169" s="804" t="n"/>
      <c r="O169" s="804" t="n"/>
      <c r="P169" s="804" t="n"/>
      <c r="Q169" s="804" t="n"/>
      <c r="R169" s="804" t="n"/>
      <c r="S169" s="804" t="n"/>
      <c r="T169" s="804" t="n"/>
      <c r="U169" s="804" t="n"/>
      <c r="V169" s="804" t="n"/>
      <c r="W169" s="804" t="n"/>
      <c r="X169" s="804" t="n"/>
    </row>
    <row r="170" ht="16" customHeight="1" s="254">
      <c r="A170" s="877" t="n"/>
      <c r="B170" s="807" t="n"/>
      <c r="C170" s="831" t="n"/>
      <c r="D170" s="831" t="n"/>
      <c r="E170" s="831" t="n"/>
      <c r="F170" s="831" t="n"/>
      <c r="G170" s="807" t="n"/>
      <c r="H170" s="807" t="n"/>
      <c r="I170" s="807" t="n"/>
      <c r="J170" s="807" t="n"/>
      <c r="K170" s="807" t="n"/>
      <c r="L170" s="878" t="n"/>
      <c r="M170" s="804" t="n"/>
      <c r="N170" s="804" t="n"/>
      <c r="O170" s="804" t="n"/>
      <c r="P170" s="804" t="n"/>
      <c r="Q170" s="804" t="n"/>
      <c r="R170" s="804" t="n"/>
      <c r="S170" s="804" t="n"/>
      <c r="T170" s="804" t="n"/>
      <c r="U170" s="804" t="n"/>
      <c r="V170" s="804" t="n"/>
      <c r="W170" s="804" t="n"/>
      <c r="X170" s="804" t="n"/>
    </row>
    <row r="171" ht="16" customHeight="1" s="254">
      <c r="A171" s="877" t="n"/>
      <c r="B171" s="807" t="n"/>
      <c r="C171" s="831" t="n"/>
      <c r="D171" s="831" t="n"/>
      <c r="E171" s="831" t="n"/>
      <c r="F171" s="831" t="n"/>
      <c r="G171" s="807" t="n"/>
      <c r="H171" s="807" t="n"/>
      <c r="I171" s="807" t="n"/>
      <c r="J171" s="807" t="n"/>
      <c r="K171" s="807" t="n"/>
      <c r="L171" s="878" t="n"/>
      <c r="M171" s="804" t="n"/>
      <c r="N171" s="804" t="n"/>
      <c r="O171" s="804" t="n"/>
      <c r="P171" s="804" t="n"/>
      <c r="Q171" s="804" t="n"/>
      <c r="R171" s="804" t="n"/>
      <c r="S171" s="804" t="n"/>
      <c r="T171" s="804" t="n"/>
      <c r="U171" s="804" t="n"/>
      <c r="V171" s="804" t="n"/>
      <c r="W171" s="804" t="n"/>
      <c r="X171" s="804" t="n"/>
    </row>
    <row r="172" ht="16" customHeight="1" s="254">
      <c r="A172" s="877" t="n"/>
      <c r="B172" s="807" t="n"/>
      <c r="C172" s="831" t="n"/>
      <c r="D172" s="831" t="n"/>
      <c r="E172" s="831" t="n"/>
      <c r="F172" s="831" t="n"/>
      <c r="G172" s="807" t="n"/>
      <c r="H172" s="807" t="n"/>
      <c r="I172" s="807" t="n"/>
      <c r="J172" s="807" t="n"/>
      <c r="K172" s="807" t="n"/>
      <c r="L172" s="878" t="n"/>
      <c r="M172" s="804" t="n"/>
      <c r="N172" s="804" t="n"/>
      <c r="O172" s="804" t="n"/>
      <c r="P172" s="804" t="n"/>
      <c r="Q172" s="804" t="n"/>
      <c r="R172" s="804" t="n"/>
      <c r="S172" s="804" t="n"/>
      <c r="T172" s="804" t="n"/>
      <c r="U172" s="804" t="n"/>
      <c r="V172" s="804" t="n"/>
      <c r="W172" s="804" t="n"/>
      <c r="X172" s="804" t="n"/>
    </row>
    <row r="173" ht="16" customHeight="1" s="254">
      <c r="A173" s="877" t="n"/>
      <c r="B173" s="807" t="n"/>
      <c r="C173" s="831" t="n"/>
      <c r="D173" s="831" t="n"/>
      <c r="E173" s="831" t="n"/>
      <c r="F173" s="831" t="n"/>
      <c r="G173" s="807" t="n"/>
      <c r="H173" s="807" t="n"/>
      <c r="I173" s="807" t="n"/>
      <c r="J173" s="807" t="n"/>
      <c r="K173" s="807" t="n"/>
      <c r="L173" s="878" t="n"/>
      <c r="M173" s="804" t="n"/>
      <c r="N173" s="804" t="n"/>
      <c r="O173" s="804" t="n"/>
      <c r="P173" s="804" t="n"/>
      <c r="Q173" s="804" t="n"/>
      <c r="R173" s="804" t="n"/>
      <c r="S173" s="804" t="n"/>
      <c r="T173" s="804" t="n"/>
      <c r="U173" s="804" t="n"/>
      <c r="V173" s="804" t="n"/>
      <c r="W173" s="804" t="n"/>
      <c r="X173" s="804" t="n"/>
    </row>
    <row r="174" ht="16" customHeight="1" s="254">
      <c r="A174" s="877" t="n"/>
      <c r="B174" s="807" t="n"/>
      <c r="C174" s="831" t="n"/>
      <c r="D174" s="831" t="n"/>
      <c r="E174" s="831" t="n"/>
      <c r="F174" s="831" t="n"/>
      <c r="G174" s="807" t="n"/>
      <c r="H174" s="807" t="n"/>
      <c r="I174" s="807" t="n"/>
      <c r="J174" s="807" t="n"/>
      <c r="K174" s="807" t="n"/>
      <c r="L174" s="878" t="n"/>
      <c r="M174" s="804" t="n"/>
      <c r="N174" s="804" t="n"/>
      <c r="O174" s="804" t="n"/>
      <c r="P174" s="804" t="n"/>
      <c r="Q174" s="804" t="n"/>
      <c r="R174" s="804" t="n"/>
      <c r="S174" s="804" t="n"/>
      <c r="T174" s="804" t="n"/>
      <c r="U174" s="804" t="n"/>
      <c r="V174" s="804" t="n"/>
      <c r="W174" s="804" t="n"/>
      <c r="X174" s="804" t="n"/>
    </row>
    <row r="175" ht="16" customHeight="1" s="254">
      <c r="A175" s="877" t="n"/>
      <c r="B175" s="807" t="n"/>
      <c r="C175" s="831" t="n"/>
      <c r="D175" s="831" t="n"/>
      <c r="E175" s="831" t="n"/>
      <c r="F175" s="831" t="n"/>
      <c r="G175" s="807" t="n"/>
      <c r="H175" s="807" t="n"/>
      <c r="I175" s="807" t="n"/>
      <c r="J175" s="807" t="n"/>
      <c r="K175" s="807" t="n"/>
      <c r="L175" s="878" t="n"/>
      <c r="M175" s="804" t="n"/>
      <c r="N175" s="804" t="n"/>
      <c r="O175" s="804" t="n"/>
      <c r="P175" s="804" t="n"/>
      <c r="Q175" s="804" t="n"/>
      <c r="R175" s="804" t="n"/>
      <c r="S175" s="804" t="n"/>
      <c r="T175" s="804" t="n"/>
      <c r="U175" s="804" t="n"/>
      <c r="V175" s="804" t="n"/>
      <c r="W175" s="804" t="n"/>
      <c r="X175" s="804" t="n"/>
    </row>
    <row r="176" ht="16" customHeight="1" s="254">
      <c r="A176" s="877" t="n"/>
      <c r="B176" s="807" t="n"/>
      <c r="C176" s="831" t="n"/>
      <c r="D176" s="831" t="n"/>
      <c r="E176" s="831" t="n"/>
      <c r="F176" s="831" t="n"/>
      <c r="G176" s="807" t="n"/>
      <c r="H176" s="807" t="n"/>
      <c r="I176" s="807" t="n"/>
      <c r="J176" s="807" t="n"/>
      <c r="K176" s="807" t="n"/>
      <c r="L176" s="878" t="n"/>
      <c r="M176" s="804" t="n"/>
      <c r="N176" s="804" t="n"/>
      <c r="O176" s="804" t="n"/>
      <c r="P176" s="804" t="n"/>
      <c r="Q176" s="804" t="n"/>
      <c r="R176" s="804" t="n"/>
      <c r="S176" s="804" t="n"/>
      <c r="T176" s="804" t="n"/>
      <c r="U176" s="804" t="n"/>
      <c r="V176" s="804" t="n"/>
      <c r="W176" s="804" t="n"/>
      <c r="X176" s="804" t="n"/>
    </row>
    <row r="177" ht="16" customHeight="1" s="254">
      <c r="A177" s="781" t="inlineStr">
        <is>
          <t>Distribution units scheduled</t>
        </is>
      </c>
      <c r="B177" s="809">
        <f>SUM($C$165:$C$176)</f>
        <v/>
      </c>
      <c r="C177" s="804" t="n"/>
      <c r="D177" s="804" t="n"/>
      <c r="E177" s="804" t="n"/>
      <c r="F177" s="804" t="n"/>
      <c r="G177" s="804" t="n"/>
      <c r="H177" s="804" t="n"/>
      <c r="I177" s="804" t="n"/>
      <c r="J177" s="804" t="n"/>
      <c r="K177" s="804" t="n"/>
      <c r="L177" s="804" t="n"/>
      <c r="M177" s="804" t="n"/>
      <c r="N177" s="804" t="n"/>
      <c r="O177" s="804" t="n"/>
      <c r="P177" s="804" t="n"/>
      <c r="Q177" s="804" t="n"/>
      <c r="R177" s="804" t="n"/>
      <c r="S177" s="804" t="n"/>
      <c r="T177" s="804" t="n"/>
      <c r="U177" s="804" t="n"/>
      <c r="V177" s="804" t="n"/>
      <c r="W177" s="804" t="n"/>
      <c r="X177" s="804" t="n"/>
    </row>
    <row r="178" ht="31" customHeight="1" s="254">
      <c r="A178" s="781" t="inlineStr">
        <is>
          <t>Distribution equipment cost ($)</t>
        </is>
      </c>
      <c r="B178" s="870">
        <f>SUM($L$165:$L$176)</f>
        <v/>
      </c>
      <c r="C178" s="814" t="inlineStr">
        <is>
          <t>Carried into the cost build-up as distribution equipment, at the materials markup.</t>
        </is>
      </c>
      <c r="I178" s="804" t="n"/>
      <c r="J178" s="804" t="n"/>
      <c r="K178" s="804" t="n"/>
      <c r="L178" s="804" t="n"/>
      <c r="M178" s="804" t="n"/>
      <c r="N178" s="804" t="n"/>
      <c r="O178" s="804" t="n"/>
      <c r="P178" s="804" t="n"/>
      <c r="Q178" s="804" t="n"/>
      <c r="R178" s="804" t="n"/>
      <c r="S178" s="804" t="n"/>
      <c r="T178" s="804" t="n"/>
      <c r="U178" s="804" t="n"/>
      <c r="V178" s="804" t="n"/>
      <c r="W178" s="804" t="n"/>
      <c r="X178" s="804" t="n"/>
    </row>
    <row r="179" ht="16" customHeight="1" s="254">
      <c r="A179" s="781" t="inlineStr">
        <is>
          <t>Every item priced?</t>
        </is>
      </c>
      <c r="B179" s="810">
        <f>IF(COUNTA($A$165:$A$176)=0,"OK — nothing scheduled yet",IF(SUMPRODUCT(--($A$165:$A$176&lt;&gt;""),--($L$165:$L$176=0),--($K$165:$K$176&lt;&gt;"By others"),--($K$165:$K$176&lt;&gt;"Priced elsewhere in this workbook"))&gt;0,"UNPRICED — a scheduled item carries no cost. Read the Cost basis column: an allowance nobody has set is still a hole, and every cost in this workbook is short by it.","OK — every scheduled item carries a cost or is provided by others"))</f>
        <v/>
      </c>
      <c r="C179" s="804" t="n"/>
      <c r="D179" s="804" t="n"/>
      <c r="E179" s="804" t="n"/>
      <c r="F179" s="804" t="n"/>
      <c r="G179" s="804" t="n"/>
      <c r="H179" s="804" t="n"/>
      <c r="I179" s="804" t="n"/>
      <c r="J179" s="804" t="n"/>
      <c r="K179" s="804" t="n"/>
      <c r="L179" s="804" t="n"/>
      <c r="M179" s="804" t="n"/>
      <c r="N179" s="804" t="n"/>
      <c r="O179" s="804" t="n"/>
      <c r="P179" s="804" t="n"/>
      <c r="Q179" s="804" t="n"/>
      <c r="R179" s="804" t="n"/>
      <c r="S179" s="804" t="n"/>
      <c r="T179" s="804" t="n"/>
      <c r="U179" s="804" t="n"/>
      <c r="V179" s="804" t="n"/>
      <c r="W179" s="804" t="n"/>
      <c r="X179" s="804" t="n"/>
    </row>
    <row r="180" ht="16" customHeight="1" s="254">
      <c r="A180" s="781" t="inlineStr">
        <is>
          <t>Every item fed from something?</t>
        </is>
      </c>
      <c r="B180" s="810">
        <f>IF(COUNTA($A$165:$A$176)=0,"OK — nothing scheduled yet",IF(SUMPRODUCT(--($A$165:$A$176&lt;&gt;""),--($G$165:$G$176=""))&gt;0,"INCOMPLETE — an item has no source named. A panel nobody feeds is a panel nobody costed a feeder to.","OK — every item names what feeds it"))</f>
        <v/>
      </c>
      <c r="C180" s="804" t="n"/>
      <c r="D180" s="804" t="n"/>
      <c r="E180" s="804" t="n"/>
      <c r="F180" s="804" t="n"/>
      <c r="G180" s="804" t="n"/>
      <c r="H180" s="804" t="n"/>
      <c r="I180" s="804" t="n"/>
      <c r="J180" s="804" t="n"/>
      <c r="K180" s="804" t="n"/>
      <c r="L180" s="804" t="n"/>
      <c r="M180" s="804" t="n"/>
      <c r="N180" s="804" t="n"/>
      <c r="O180" s="804" t="n"/>
      <c r="P180" s="804" t="n"/>
      <c r="Q180" s="804" t="n"/>
      <c r="R180" s="804" t="n"/>
      <c r="S180" s="804" t="n"/>
      <c r="T180" s="804" t="n"/>
      <c r="U180" s="804" t="n"/>
      <c r="V180" s="804" t="n"/>
      <c r="W180" s="804" t="n"/>
      <c r="X180" s="804" t="n"/>
    </row>
    <row r="181" ht="31" customHeight="1" s="254">
      <c r="A181" s="781" t="inlineStr">
        <is>
          <t>EVSE disconnecting means — NEC 625.43</t>
        </is>
      </c>
      <c r="B181" s="810">
        <f>IF(COUNTA($A$165:$A$176)=0,"OK — nothing scheduled yet","ADVISORY — "&amp;TEXT(SUMIF($B$165:$B$176,"EVSE disconnect",$C$165:$C$176),"0")&amp;"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81" s="804" t="n"/>
      <c r="D181" s="804" t="n"/>
      <c r="E181" s="804" t="n"/>
      <c r="F181" s="804" t="n"/>
      <c r="G181" s="804" t="n"/>
      <c r="H181" s="804" t="n"/>
      <c r="I181" s="804" t="n"/>
      <c r="J181" s="804" t="n"/>
      <c r="K181" s="804" t="n"/>
      <c r="L181" s="804" t="n"/>
      <c r="M181" s="804" t="n"/>
      <c r="N181" s="804" t="n"/>
      <c r="O181" s="804" t="n"/>
      <c r="P181" s="804" t="n"/>
      <c r="Q181" s="804" t="n"/>
      <c r="R181" s="804" t="n"/>
      <c r="S181" s="804" t="n"/>
      <c r="T181" s="804" t="n"/>
      <c r="U181" s="804" t="n"/>
      <c r="V181" s="804" t="n"/>
      <c r="W181" s="804" t="n"/>
      <c r="X181" s="804" t="n"/>
    </row>
    <row r="182" ht="16" customHeight="1" s="254">
      <c r="A182" s="811" t="n"/>
      <c r="B182" s="804" t="n"/>
      <c r="C182" s="804" t="n"/>
      <c r="D182" s="804" t="n"/>
      <c r="E182" s="804" t="n"/>
      <c r="F182" s="804" t="n"/>
      <c r="G182" s="804" t="n"/>
      <c r="H182" s="804" t="n"/>
      <c r="I182" s="804" t="n"/>
      <c r="J182" s="804" t="n"/>
      <c r="K182" s="804" t="n"/>
      <c r="L182" s="804" t="n"/>
      <c r="M182" s="804" t="n"/>
      <c r="N182" s="804" t="n"/>
      <c r="O182" s="804" t="n"/>
      <c r="P182" s="804" t="n"/>
      <c r="Q182" s="804" t="n"/>
      <c r="R182" s="804" t="n"/>
      <c r="S182" s="804" t="n"/>
      <c r="T182" s="804" t="n"/>
      <c r="U182" s="804" t="n"/>
      <c r="V182" s="804" t="n"/>
      <c r="W182" s="804" t="n"/>
      <c r="X182" s="804" t="n"/>
    </row>
    <row r="183" ht="19.75" customHeight="1" s="254">
      <c r="A183" s="798" t="inlineStr">
        <is>
          <t>F · UTILITY INTERCONNECTION — governed by the serving utility</t>
        </is>
      </c>
      <c r="I183" s="804" t="n"/>
      <c r="J183" s="804" t="n"/>
      <c r="K183" s="804" t="n"/>
      <c r="L183" s="804" t="n"/>
      <c r="M183" s="804" t="n"/>
      <c r="N183" s="804" t="n"/>
      <c r="O183" s="804" t="n"/>
      <c r="P183" s="804" t="n"/>
      <c r="Q183" s="804" t="n"/>
      <c r="R183" s="804" t="n"/>
      <c r="S183" s="804" t="n"/>
      <c r="T183" s="804" t="n"/>
      <c r="U183" s="804" t="n"/>
      <c r="V183" s="804" t="n"/>
      <c r="W183" s="804" t="n"/>
      <c r="X183" s="804" t="n"/>
    </row>
    <row r="184" ht="31" customHeight="1" s="254">
      <c r="A184" s="879"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84" s="804" t="n"/>
      <c r="V184" s="804" t="n"/>
      <c r="W184" s="804" t="n"/>
      <c r="X184" s="804" t="n"/>
    </row>
    <row r="185" ht="16" customHeight="1" s="254">
      <c r="A185" s="781" t="inlineStr">
        <is>
          <t>Service type</t>
        </is>
      </c>
      <c r="B185" s="799" t="inlineStr">
        <is>
          <t>Added load to existing service</t>
        </is>
      </c>
      <c r="C185" s="814" t="inlineStr">
        <is>
          <t>New service / added load to existing service</t>
        </is>
      </c>
      <c r="I185" s="804" t="n"/>
      <c r="J185" s="804" t="n"/>
      <c r="K185" s="804" t="n"/>
      <c r="L185" s="804" t="n"/>
      <c r="M185" s="804" t="n"/>
      <c r="N185" s="804" t="n"/>
      <c r="O185" s="804" t="n"/>
      <c r="P185" s="804" t="n"/>
      <c r="Q185" s="804" t="n"/>
      <c r="R185" s="804" t="n"/>
      <c r="S185" s="804" t="n"/>
      <c r="T185" s="804" t="n"/>
      <c r="U185" s="804" t="n"/>
      <c r="V185" s="804" t="n"/>
      <c r="W185" s="804" t="n"/>
      <c r="X185" s="804" t="n"/>
    </row>
    <row r="186" ht="16" customHeight="1" s="254">
      <c r="A186" s="781" t="inlineStr">
        <is>
          <t>Overhead or underground service</t>
        </is>
      </c>
      <c r="B186" s="799" t="inlineStr">
        <is>
          <t>Underground</t>
        </is>
      </c>
      <c r="C186" s="804" t="n"/>
      <c r="D186" s="804" t="n"/>
      <c r="E186" s="804" t="n"/>
      <c r="F186" s="804" t="n"/>
      <c r="G186" s="804" t="n"/>
      <c r="H186" s="804" t="n"/>
      <c r="I186" s="804" t="n"/>
      <c r="J186" s="804" t="n"/>
      <c r="K186" s="804" t="n"/>
      <c r="L186" s="804" t="n"/>
      <c r="M186" s="804" t="n"/>
      <c r="N186" s="804" t="n"/>
      <c r="O186" s="804" t="n"/>
      <c r="P186" s="804" t="n"/>
      <c r="Q186" s="804" t="n"/>
      <c r="R186" s="804" t="n"/>
      <c r="S186" s="804" t="n"/>
      <c r="T186" s="804" t="n"/>
      <c r="U186" s="804" t="n"/>
      <c r="V186" s="804" t="n"/>
      <c r="W186" s="804" t="n"/>
      <c r="X186" s="804" t="n"/>
    </row>
    <row r="187" ht="31" customHeight="1" s="254">
      <c r="A187" s="781" t="inlineStr">
        <is>
          <t>Distance to the utility point of interconnection (ft)</t>
        </is>
      </c>
      <c r="B187" s="818" t="n">
        <v>150</v>
      </c>
      <c r="C187" s="814" t="inlineStr">
        <is>
          <t>Drives whether distribution work is likely</t>
        </is>
      </c>
      <c r="I187" s="804" t="n"/>
      <c r="J187" s="804" t="n"/>
      <c r="K187" s="804" t="n"/>
      <c r="L187" s="804" t="n"/>
      <c r="M187" s="804" t="n"/>
      <c r="N187" s="804" t="n"/>
      <c r="O187" s="804" t="n"/>
      <c r="P187" s="804" t="n"/>
      <c r="Q187" s="804" t="n"/>
      <c r="R187" s="804" t="n"/>
      <c r="S187" s="804" t="n"/>
      <c r="T187" s="804" t="n"/>
      <c r="U187" s="804" t="n"/>
      <c r="V187" s="804" t="n"/>
      <c r="W187" s="804" t="n"/>
      <c r="X187" s="804" t="n"/>
    </row>
    <row r="188" ht="31" customHeight="1" s="254">
      <c r="A188" s="781" t="inlineStr">
        <is>
          <t>Interconnection application submitted?</t>
        </is>
      </c>
      <c r="B188" s="799" t="inlineStr">
        <is>
          <t>No</t>
        </is>
      </c>
      <c r="C188" s="814" t="inlineStr">
        <is>
          <t>Yes / No — with the date in the next row</t>
        </is>
      </c>
      <c r="I188" s="804" t="n"/>
      <c r="J188" s="804" t="n"/>
      <c r="K188" s="804" t="n"/>
      <c r="L188" s="804" t="n"/>
      <c r="M188" s="804" t="n"/>
      <c r="N188" s="804" t="n"/>
      <c r="O188" s="804" t="n"/>
      <c r="P188" s="804" t="n"/>
      <c r="Q188" s="804" t="n"/>
      <c r="R188" s="804" t="n"/>
      <c r="S188" s="804" t="n"/>
      <c r="T188" s="804" t="n"/>
      <c r="U188" s="804" t="n"/>
      <c r="V188" s="804" t="n"/>
      <c r="W188" s="804" t="n"/>
      <c r="X188" s="804" t="n"/>
    </row>
    <row r="189" ht="16" customHeight="1" s="254">
      <c r="A189" s="781" t="inlineStr">
        <is>
          <t>Application date</t>
        </is>
      </c>
      <c r="B189" s="799" t="n"/>
      <c r="C189" s="804" t="n"/>
      <c r="D189" s="804" t="n"/>
      <c r="E189" s="804" t="n"/>
      <c r="F189" s="804" t="n"/>
      <c r="G189" s="804" t="n"/>
      <c r="H189" s="804" t="n"/>
      <c r="I189" s="804" t="n"/>
      <c r="J189" s="804" t="n"/>
      <c r="K189" s="804" t="n"/>
      <c r="L189" s="804" t="n"/>
      <c r="M189" s="804" t="n"/>
      <c r="N189" s="804" t="n"/>
      <c r="O189" s="804" t="n"/>
      <c r="P189" s="804" t="n"/>
      <c r="Q189" s="804" t="n"/>
      <c r="R189" s="804" t="n"/>
      <c r="S189" s="804" t="n"/>
      <c r="T189" s="804" t="n"/>
      <c r="U189" s="804" t="n"/>
      <c r="V189" s="804" t="n"/>
      <c r="W189" s="804" t="n"/>
      <c r="X189" s="804" t="n"/>
    </row>
    <row r="190" ht="16" customHeight="1" s="254">
      <c r="A190" s="781" t="inlineStr">
        <is>
          <t>Utility project or design number</t>
        </is>
      </c>
      <c r="B190" s="799" t="n"/>
      <c r="C190" s="814" t="inlineStr">
        <is>
          <t>Once issued</t>
        </is>
      </c>
      <c r="I190" s="804" t="n"/>
      <c r="J190" s="804" t="n"/>
      <c r="K190" s="804" t="n"/>
      <c r="L190" s="804" t="n"/>
      <c r="M190" s="804" t="n"/>
      <c r="N190" s="804" t="n"/>
      <c r="O190" s="804" t="n"/>
      <c r="P190" s="804" t="n"/>
      <c r="Q190" s="804" t="n"/>
      <c r="R190" s="804" t="n"/>
      <c r="S190" s="804" t="n"/>
      <c r="T190" s="804" t="n"/>
      <c r="U190" s="804" t="n"/>
      <c r="V190" s="804" t="n"/>
      <c r="W190" s="804" t="n"/>
      <c r="X190" s="804" t="n"/>
    </row>
    <row r="191" ht="31" customHeight="1" s="254">
      <c r="A191" s="781" t="inlineStr">
        <is>
          <t>Utility interconnection design and application fee</t>
        </is>
      </c>
      <c r="B191" s="880" t="n">
        <v>3500</v>
      </c>
      <c r="C191" s="814" t="inlineStr">
        <is>
          <t>What the serving utility charges to design and connect the service. Leave blank until they say — there is no default.</t>
        </is>
      </c>
      <c r="I191" s="804" t="n"/>
      <c r="J191" s="804" t="n"/>
      <c r="K191" s="804" t="n"/>
      <c r="L191" s="804" t="n"/>
      <c r="M191" s="804" t="n"/>
      <c r="N191" s="804" t="n"/>
      <c r="O191" s="804" t="n"/>
      <c r="P191" s="804" t="n"/>
      <c r="Q191" s="804" t="n"/>
      <c r="R191" s="804" t="n"/>
      <c r="S191" s="804" t="n"/>
      <c r="T191" s="804" t="n"/>
      <c r="U191" s="804" t="n"/>
      <c r="V191" s="804" t="n"/>
      <c r="W191" s="804" t="n"/>
      <c r="X191" s="804" t="n"/>
    </row>
    <row r="192" ht="31" customHeight="1" s="254">
      <c r="A192" s="781" t="inlineStr">
        <is>
          <t>Distribution or line extension indicated by the utility?</t>
        </is>
      </c>
      <c r="B192" s="799" t="inlineStr">
        <is>
          <t>Unknown — design not yet submitted</t>
        </is>
      </c>
      <c r="C192" s="814" t="inlineStr">
        <is>
          <t>Unknown until the utility design is returned</t>
        </is>
      </c>
      <c r="I192" s="804" t="n"/>
      <c r="J192" s="804" t="n"/>
      <c r="K192" s="804" t="n"/>
      <c r="L192" s="804" t="n"/>
      <c r="M192" s="804" t="n"/>
      <c r="N192" s="804" t="n"/>
      <c r="O192" s="804" t="n"/>
      <c r="P192" s="804" t="n"/>
      <c r="Q192" s="804" t="n"/>
      <c r="R192" s="804" t="n"/>
      <c r="S192" s="804" t="n"/>
      <c r="T192" s="804" t="n"/>
      <c r="U192" s="804" t="n"/>
      <c r="V192" s="804" t="n"/>
      <c r="W192" s="804" t="n"/>
      <c r="X192" s="804" t="n"/>
    </row>
    <row r="193" ht="31" customHeight="1" s="254">
      <c r="A193" s="781" t="inlineStr">
        <is>
          <t>Line-extension allowance calculated by the utility</t>
        </is>
      </c>
      <c r="B193" s="880" t="n"/>
      <c r="C193" s="814" t="inlineStr">
        <is>
          <t>Leave blank until the design comes back. Municipal utilities often publish no allowance at all — zero is then a finding, not a gap.</t>
        </is>
      </c>
      <c r="I193" s="804" t="n"/>
      <c r="J193" s="804" t="n"/>
      <c r="K193" s="804" t="n"/>
      <c r="L193" s="804" t="n"/>
      <c r="M193" s="804" t="n"/>
      <c r="N193" s="804" t="n"/>
      <c r="O193" s="804" t="n"/>
      <c r="P193" s="804" t="n"/>
      <c r="Q193" s="804" t="n"/>
      <c r="R193" s="804" t="n"/>
      <c r="S193" s="804" t="n"/>
      <c r="T193" s="804" t="n"/>
      <c r="U193" s="804" t="n"/>
      <c r="V193" s="804" t="n"/>
      <c r="W193" s="804" t="n"/>
      <c r="X193" s="804" t="n"/>
    </row>
    <row r="194" ht="31" customHeight="1" s="254">
      <c r="A194" s="781" t="inlineStr">
        <is>
          <t>Customer contribution above the allowance</t>
        </is>
      </c>
      <c r="B194" s="880" t="n"/>
      <c r="C194" s="814" t="inlineStr">
        <is>
          <t>Leave blank until the design comes back</t>
        </is>
      </c>
      <c r="I194" s="804" t="n"/>
      <c r="J194" s="804" t="n"/>
      <c r="K194" s="804" t="n"/>
      <c r="L194" s="804" t="n"/>
      <c r="M194" s="804" t="n"/>
      <c r="N194" s="804" t="n"/>
      <c r="O194" s="804" t="n"/>
      <c r="P194" s="804" t="n"/>
      <c r="Q194" s="804" t="n"/>
      <c r="R194" s="804" t="n"/>
      <c r="S194" s="804" t="n"/>
      <c r="T194" s="804" t="n"/>
      <c r="U194" s="804" t="n"/>
      <c r="V194" s="804" t="n"/>
      <c r="W194" s="804" t="n"/>
      <c r="X194" s="804" t="n"/>
    </row>
    <row r="195" ht="31" customHeight="1" s="254">
      <c r="A195" s="781" t="inlineStr">
        <is>
          <t>Temporary or speculative service component?</t>
        </is>
      </c>
      <c r="B195" s="799" t="inlineStr">
        <is>
          <t>Unknown</t>
        </is>
      </c>
      <c r="C195" s="804" t="n"/>
      <c r="D195" s="804" t="n"/>
      <c r="E195" s="804" t="n"/>
      <c r="F195" s="804" t="n"/>
      <c r="G195" s="804" t="n"/>
      <c r="H195" s="804" t="n"/>
      <c r="I195" s="804" t="n"/>
      <c r="J195" s="804" t="n"/>
      <c r="K195" s="804" t="n"/>
      <c r="L195" s="804" t="n"/>
      <c r="M195" s="804" t="n"/>
      <c r="N195" s="804" t="n"/>
      <c r="O195" s="804" t="n"/>
      <c r="P195" s="804" t="n"/>
      <c r="Q195" s="804" t="n"/>
      <c r="R195" s="804" t="n"/>
      <c r="S195" s="804" t="n"/>
      <c r="T195" s="804" t="n"/>
      <c r="U195" s="804" t="n"/>
      <c r="V195" s="804" t="n"/>
      <c r="W195" s="804" t="n"/>
      <c r="X195" s="804" t="n"/>
    </row>
    <row r="196" ht="31" customHeight="1" s="254">
      <c r="A196" s="781" t="inlineStr">
        <is>
          <t>Tax gross-up on a customer contribution applies?</t>
        </is>
      </c>
      <c r="B196" s="799" t="inlineStr">
        <is>
          <t>Only if Rule 15/16 contribution arises</t>
        </is>
      </c>
      <c r="C196" s="814" t="inlineStr">
        <is>
          <t>Tax on any contribution to utility-owned plant. Investor-owned utilities levy it; publicly owned utilities generally do not.</t>
        </is>
      </c>
      <c r="I196" s="804" t="n"/>
      <c r="J196" s="804" t="n"/>
      <c r="K196" s="804" t="n"/>
      <c r="L196" s="804" t="n"/>
      <c r="M196" s="804" t="n"/>
      <c r="N196" s="804" t="n"/>
      <c r="O196" s="804" t="n"/>
      <c r="P196" s="804" t="n"/>
      <c r="Q196" s="804" t="n"/>
      <c r="R196" s="804" t="n"/>
      <c r="S196" s="804" t="n"/>
      <c r="T196" s="804" t="n"/>
      <c r="U196" s="804" t="n"/>
      <c r="V196" s="804" t="n"/>
      <c r="W196" s="804" t="n"/>
      <c r="X196" s="804" t="n"/>
    </row>
    <row r="197" ht="31" customHeight="1" s="254">
      <c r="A197" s="781" t="inlineStr">
        <is>
          <t>Transformer pad location agreed with client?</t>
        </is>
      </c>
      <c r="B197" s="799" t="inlineStr">
        <is>
          <t>Yes</t>
        </is>
      </c>
      <c r="C197" s="814" t="inlineStr">
        <is>
          <t>Client must provide the space</t>
        </is>
      </c>
      <c r="I197" s="804" t="n"/>
      <c r="J197" s="804" t="n"/>
      <c r="K197" s="804" t="n"/>
      <c r="L197" s="804" t="n"/>
      <c r="M197" s="804" t="n"/>
      <c r="N197" s="804" t="n"/>
      <c r="O197" s="804" t="n"/>
      <c r="P197" s="804" t="n"/>
      <c r="Q197" s="804" t="n"/>
      <c r="R197" s="804" t="n"/>
      <c r="S197" s="804" t="n"/>
      <c r="T197" s="804" t="n"/>
      <c r="U197" s="804" t="n"/>
      <c r="V197" s="804" t="n"/>
      <c r="W197" s="804" t="n"/>
      <c r="X197" s="804" t="n"/>
    </row>
    <row r="198" ht="31" customHeight="1" s="254">
      <c r="A198" s="781" t="inlineStr">
        <is>
          <t>Proof of commitment to purchase provided?</t>
        </is>
      </c>
      <c r="B198" s="799" t="inlineStr">
        <is>
          <t>Yes</t>
        </is>
      </c>
      <c r="C198" s="814" t="inlineStr">
        <is>
          <t>Some utility programmes require a PO, budget approval or grant agreement</t>
        </is>
      </c>
      <c r="I198" s="804" t="n"/>
      <c r="J198" s="804" t="n"/>
      <c r="K198" s="804" t="n"/>
      <c r="L198" s="804" t="n"/>
      <c r="M198" s="804" t="n"/>
      <c r="N198" s="804" t="n"/>
      <c r="O198" s="804" t="n"/>
      <c r="P198" s="804" t="n"/>
      <c r="Q198" s="804" t="n"/>
      <c r="R198" s="804" t="n"/>
      <c r="S198" s="804" t="n"/>
      <c r="T198" s="804" t="n"/>
      <c r="U198" s="804" t="n"/>
      <c r="V198" s="804" t="n"/>
      <c r="W198" s="804" t="n"/>
      <c r="X198" s="804" t="n"/>
    </row>
    <row r="199" ht="31" customHeight="1" s="254">
      <c r="A199" s="781" t="inlineStr">
        <is>
          <t>Client accepts the utility's operate-and-maintain obligation?</t>
        </is>
      </c>
      <c r="B199" s="799" t="inlineStr">
        <is>
          <t>Yes</t>
        </is>
      </c>
      <c r="C199" s="814" t="inlineStr">
        <is>
          <t>Where the utility imposes one as a condition of an incentive or an extension</t>
        </is>
      </c>
      <c r="I199" s="804" t="n"/>
      <c r="J199" s="804" t="n"/>
      <c r="K199" s="804" t="n"/>
      <c r="L199" s="804" t="n"/>
      <c r="M199" s="804" t="n"/>
      <c r="N199" s="804" t="n"/>
      <c r="O199" s="804" t="n"/>
      <c r="P199" s="804" t="n"/>
      <c r="Q199" s="804" t="n"/>
      <c r="R199" s="804" t="n"/>
      <c r="S199" s="804" t="n"/>
      <c r="T199" s="804" t="n"/>
      <c r="U199" s="804" t="n"/>
      <c r="V199" s="804" t="n"/>
      <c r="W199" s="804" t="n"/>
      <c r="X199" s="804" t="n"/>
    </row>
    <row r="200" ht="43.5" customHeight="1" s="254">
      <c r="A200" s="781" t="inlineStr">
        <is>
          <t>Client accepts the utility's activation deadline after energisation?</t>
        </is>
      </c>
      <c r="B200" s="799" t="inlineStr">
        <is>
          <t>Yes</t>
        </is>
      </c>
      <c r="C200" s="814" t="inlineStr">
        <is>
          <t>Where the utility sets one</t>
        </is>
      </c>
      <c r="I200" s="804" t="n"/>
      <c r="J200" s="804" t="n"/>
      <c r="K200" s="804" t="n"/>
      <c r="L200" s="804" t="n"/>
      <c r="M200" s="804" t="n"/>
      <c r="N200" s="804" t="n"/>
      <c r="O200" s="804" t="n"/>
      <c r="P200" s="804" t="n"/>
      <c r="Q200" s="804" t="n"/>
      <c r="R200" s="804" t="n"/>
      <c r="S200" s="804" t="n"/>
      <c r="T200" s="804" t="n"/>
      <c r="U200" s="804" t="n"/>
      <c r="V200" s="804" t="n"/>
      <c r="W200" s="804" t="n"/>
      <c r="X200" s="804" t="n"/>
    </row>
    <row r="201" ht="16" customHeight="1" s="254">
      <c r="A201" s="781" t="inlineStr">
        <is>
          <t>Utility design submitted (date)</t>
        </is>
      </c>
      <c r="B201" s="799" t="n"/>
      <c r="C201" s="804" t="n"/>
      <c r="D201" s="804" t="n"/>
      <c r="E201" s="804" t="n"/>
      <c r="F201" s="804" t="n"/>
      <c r="G201" s="804" t="n"/>
      <c r="H201" s="804" t="n"/>
      <c r="I201" s="804" t="n"/>
      <c r="J201" s="804" t="n"/>
      <c r="K201" s="804" t="n"/>
      <c r="L201" s="804" t="n"/>
      <c r="M201" s="804" t="n"/>
      <c r="N201" s="804" t="n"/>
      <c r="O201" s="804" t="n"/>
      <c r="P201" s="804" t="n"/>
      <c r="Q201" s="804" t="n"/>
      <c r="R201" s="804" t="n"/>
      <c r="S201" s="804" t="n"/>
      <c r="T201" s="804" t="n"/>
      <c r="U201" s="804" t="n"/>
      <c r="V201" s="804" t="n"/>
      <c r="W201" s="804" t="n"/>
      <c r="X201" s="804" t="n"/>
    </row>
    <row r="202" ht="16" customHeight="1" s="254">
      <c r="A202" s="781" t="inlineStr">
        <is>
          <t>Utility design returned (date)</t>
        </is>
      </c>
      <c r="B202" s="799" t="n"/>
      <c r="C202" s="804" t="n"/>
      <c r="D202" s="804" t="n"/>
      <c r="E202" s="804" t="n"/>
      <c r="F202" s="804" t="n"/>
      <c r="G202" s="804" t="n"/>
      <c r="H202" s="804" t="n"/>
      <c r="I202" s="804" t="n"/>
      <c r="J202" s="804" t="n"/>
      <c r="K202" s="804" t="n"/>
      <c r="L202" s="804" t="n"/>
      <c r="M202" s="804" t="n"/>
      <c r="N202" s="804" t="n"/>
      <c r="O202" s="804" t="n"/>
      <c r="P202" s="804" t="n"/>
      <c r="Q202" s="804" t="n"/>
      <c r="R202" s="804" t="n"/>
      <c r="S202" s="804" t="n"/>
      <c r="T202" s="804" t="n"/>
      <c r="U202" s="804" t="n"/>
      <c r="V202" s="804" t="n"/>
      <c r="W202" s="804" t="n"/>
      <c r="X202" s="804" t="n"/>
    </row>
    <row r="203" ht="16" customHeight="1" s="254">
      <c r="A203" s="811" t="n"/>
      <c r="B203" s="804" t="n"/>
      <c r="C203" s="804" t="n"/>
      <c r="D203" s="804" t="n"/>
      <c r="E203" s="804" t="n"/>
      <c r="F203" s="804" t="n"/>
      <c r="G203" s="804" t="n"/>
      <c r="H203" s="804" t="n"/>
      <c r="I203" s="804" t="n"/>
      <c r="J203" s="804" t="n"/>
      <c r="K203" s="804" t="n"/>
      <c r="L203" s="804" t="n"/>
      <c r="M203" s="804" t="n"/>
      <c r="N203" s="804" t="n"/>
      <c r="O203" s="804" t="n"/>
      <c r="P203" s="804" t="n"/>
      <c r="Q203" s="804" t="n"/>
      <c r="R203" s="804" t="n"/>
      <c r="S203" s="804" t="n"/>
      <c r="T203" s="804" t="n"/>
      <c r="U203" s="804" t="n"/>
      <c r="V203" s="804" t="n"/>
      <c r="W203" s="804" t="n"/>
      <c r="X203" s="804" t="n"/>
    </row>
    <row r="204" ht="19.75" customHeight="1" s="254">
      <c r="A204" s="798" t="inlineStr">
        <is>
          <t>G · RETAINED INFRASTRUCTURE — existing-service and replacement sites</t>
        </is>
      </c>
      <c r="I204" s="804" t="n"/>
      <c r="J204" s="804" t="n"/>
      <c r="K204" s="804" t="n"/>
      <c r="L204" s="804" t="n"/>
      <c r="M204" s="804" t="n"/>
      <c r="N204" s="804" t="n"/>
      <c r="O204" s="804" t="n"/>
      <c r="P204" s="804" t="n"/>
      <c r="Q204" s="804" t="n"/>
      <c r="R204" s="804" t="n"/>
      <c r="S204" s="804" t="n"/>
      <c r="T204" s="804" t="n"/>
      <c r="U204" s="804" t="n"/>
      <c r="V204" s="804" t="n"/>
      <c r="W204" s="804" t="n"/>
      <c r="X204" s="804" t="n"/>
    </row>
    <row r="205" hidden="1" outlineLevel="1" ht="16" customHeight="1" s="254">
      <c r="A205" s="814"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205" s="804" t="n"/>
      <c r="V205" s="804" t="n"/>
      <c r="W205" s="804" t="n"/>
      <c r="X205" s="804" t="n"/>
    </row>
    <row r="206" hidden="1" outlineLevel="1" ht="16" customHeight="1" s="254">
      <c r="A206" s="781" t="inlineStr">
        <is>
          <t>Project type</t>
        </is>
      </c>
      <c r="B206" s="810">
        <f>Existing!$B$5</f>
        <v/>
      </c>
      <c r="C206" s="814" t="inlineStr">
        <is>
          <t>From the Existing tab.</t>
        </is>
      </c>
      <c r="I206" s="804" t="n"/>
      <c r="J206" s="804" t="n"/>
      <c r="K206" s="804" t="n"/>
      <c r="L206" s="804" t="n"/>
      <c r="M206" s="804" t="n"/>
      <c r="N206" s="804" t="n"/>
      <c r="O206" s="804" t="n"/>
      <c r="P206" s="804" t="n"/>
      <c r="Q206" s="804" t="n"/>
      <c r="R206" s="804" t="n"/>
      <c r="S206" s="804" t="n"/>
      <c r="T206" s="804" t="n"/>
      <c r="U206" s="804" t="n"/>
      <c r="V206" s="804" t="n"/>
      <c r="W206" s="804" t="n"/>
      <c r="X206" s="804" t="n"/>
    </row>
    <row r="207" hidden="1" outlineLevel="1" ht="16" customHeight="1" s="254">
      <c r="A207" s="806" t="inlineStr">
        <is>
          <t>Electrical element</t>
        </is>
      </c>
      <c r="B207" s="806" t="inlineStr">
        <is>
          <t>Decision</t>
        </is>
      </c>
      <c r="C207" s="881" t="inlineStr">
        <is>
          <t>What it means for the take-off</t>
        </is>
      </c>
      <c r="D207" s="299" t="n"/>
      <c r="E207" s="299" t="n"/>
      <c r="F207" s="299" t="n"/>
      <c r="G207" s="299" t="n"/>
      <c r="H207" s="299" t="n"/>
      <c r="I207" s="804" t="n"/>
      <c r="J207" s="804" t="n"/>
      <c r="K207" s="804" t="n"/>
      <c r="L207" s="804" t="n"/>
      <c r="M207" s="804" t="n"/>
      <c r="N207" s="804" t="n"/>
      <c r="O207" s="804" t="n"/>
      <c r="P207" s="804" t="n"/>
      <c r="Q207" s="804" t="n"/>
      <c r="R207" s="804" t="n"/>
      <c r="S207" s="804" t="n"/>
      <c r="T207" s="804" t="n"/>
      <c r="U207" s="804" t="n"/>
      <c r="V207" s="804" t="n"/>
      <c r="W207" s="804" t="n"/>
      <c r="X207" s="804" t="n"/>
    </row>
    <row r="208" hidden="1" outlineLevel="1" ht="16" customHeight="1" s="254">
      <c r="A208" s="781" t="inlineStr">
        <is>
          <t>Utility service and meter</t>
        </is>
      </c>
      <c r="B208" s="863">
        <f>IF(Existing!$B$5="Greenfield — new service","n/a — greenfield",Existing!$B$13)</f>
        <v/>
      </c>
      <c r="C208" s="882">
        <f>IF($B$208="n/a — greenfield","Greenfield — there is nothing to retain, so this line has no bearing on the take-off. The full electrical scope is priced.",IF($B$208="RETAIN","No Rule 29 application, no new service, no interconnection allowance. Zero the utility lines below.",IF($B$208="NOT PRESENT","Not present on this site.","Price the new service and the Rule 29 scope in full.")))</f>
        <v/>
      </c>
      <c r="I208" s="804" t="n"/>
      <c r="J208" s="804" t="n"/>
      <c r="K208" s="804" t="n"/>
      <c r="L208" s="804" t="n"/>
      <c r="M208" s="804" t="n"/>
      <c r="N208" s="804" t="n"/>
      <c r="O208" s="804" t="n"/>
      <c r="P208" s="804" t="n"/>
      <c r="Q208" s="804" t="n"/>
      <c r="R208" s="804" t="n"/>
      <c r="S208" s="804" t="n"/>
      <c r="T208" s="804" t="n"/>
      <c r="U208" s="804" t="n"/>
      <c r="V208" s="804" t="n"/>
      <c r="W208" s="804" t="n"/>
      <c r="X208" s="804" t="n"/>
    </row>
    <row r="209" hidden="1" outlineLevel="1" ht="16" customHeight="1" s="254">
      <c r="A209" s="781" t="inlineStr">
        <is>
          <t>Service feeder</t>
        </is>
      </c>
      <c r="B209" s="863">
        <f>IF(Existing!$B$5="Greenfield — new service","n/a — greenfield",Existing!$B$14)</f>
        <v/>
      </c>
      <c r="C209" s="882">
        <f>IF($B$209="n/a — greenfield","Greenfield — there is nothing to retain, so this line has no bearing on the take-off. The full electrical scope is priced.",IF($B$209="RETAIN","Zero the service feeder conductor. Verify ampacity against the new load first.",IF($B$209="NOT PRESENT","Not present on this site.","Price the service feeder at the distances entered above.")))</f>
        <v/>
      </c>
      <c r="I209" s="804" t="n"/>
      <c r="J209" s="804" t="n"/>
      <c r="K209" s="804" t="n"/>
      <c r="L209" s="804" t="n"/>
      <c r="M209" s="804" t="n"/>
      <c r="N209" s="804" t="n"/>
      <c r="O209" s="804" t="n"/>
      <c r="P209" s="804" t="n"/>
      <c r="Q209" s="804" t="n"/>
      <c r="R209" s="804" t="n"/>
      <c r="S209" s="804" t="n"/>
      <c r="T209" s="804" t="n"/>
      <c r="U209" s="804" t="n"/>
      <c r="V209" s="804" t="n"/>
      <c r="W209" s="804" t="n"/>
      <c r="X209" s="804" t="n"/>
    </row>
    <row r="210" hidden="1" outlineLevel="1" ht="16" customHeight="1" s="254">
      <c r="A210" s="781" t="inlineStr">
        <is>
          <t>Switchgear</t>
        </is>
      </c>
      <c r="B210" s="863">
        <f>IF(Existing!$B$5="Greenfield — new service","n/a — greenfield",Existing!$B$15)</f>
        <v/>
      </c>
      <c r="C210" s="882">
        <f>IF($B$210="n/a — greenfield","Greenfield — there is nothing to retain, so this line has no bearing on the take-off. The full electrical scope is priced.",IF($B$210="RETAIN","Zero the switchgear line. Confirm the frame carries the new load — see the check on the Existing tab.",IF($B$210="NOT PRESENT","Not present on this site.","Price a new switchboard sized to the new load.")))</f>
        <v/>
      </c>
      <c r="I210" s="804" t="n"/>
      <c r="J210" s="804" t="n"/>
      <c r="K210" s="804" t="n"/>
      <c r="L210" s="804" t="n"/>
      <c r="M210" s="804" t="n"/>
      <c r="N210" s="804" t="n"/>
      <c r="O210" s="804" t="n"/>
      <c r="P210" s="804" t="n"/>
      <c r="Q210" s="804" t="n"/>
      <c r="R210" s="804" t="n"/>
      <c r="S210" s="804" t="n"/>
      <c r="T210" s="804" t="n"/>
      <c r="U210" s="804" t="n"/>
      <c r="V210" s="804" t="n"/>
      <c r="W210" s="804" t="n"/>
      <c r="X210" s="804" t="n"/>
    </row>
    <row r="211" hidden="1" outlineLevel="1" ht="16" customHeight="1" s="254">
      <c r="A211" s="781" t="inlineStr">
        <is>
          <t>Branch conductors</t>
        </is>
      </c>
      <c r="B211" s="863">
        <f>IF(Existing!$B$5="Greenfield — add load to existing service","n/a — no existing chargers",IF(Existing!$B$5="Greenfield — new service","n/a — greenfield",Existing!$B$16)</f>
        <v/>
      </c>
      <c r="C211" s="882">
        <f>IF($B$211="n/a — no existing chargers","No existing chargers — this element is new and priced in full.",IF($B$211="n/a — greenfield","Greenfield — there is nothing to retain, so this line has no bearing on the take-off. The full electrical scope is priced.",IF($B$211="RETAIN","Zero the feeder conductor and equipment ground. The largest single saving on a replacement.",IF($B$211="NOT PRESENT","Not present on this site.","Price branch conductors at the placement distances entered above.")))</f>
        <v/>
      </c>
      <c r="I211" s="804" t="n"/>
      <c r="J211" s="804" t="n"/>
      <c r="K211" s="804" t="n"/>
      <c r="L211" s="804" t="n"/>
      <c r="M211" s="804" t="n"/>
      <c r="N211" s="804" t="n"/>
      <c r="O211" s="804" t="n"/>
      <c r="P211" s="804" t="n"/>
      <c r="Q211" s="804" t="n"/>
      <c r="R211" s="804" t="n"/>
      <c r="S211" s="804" t="n"/>
      <c r="T211" s="804" t="n"/>
      <c r="U211" s="804" t="n"/>
      <c r="V211" s="804" t="n"/>
      <c r="W211" s="804" t="n"/>
      <c r="X211" s="804" t="n"/>
    </row>
    <row r="212" hidden="1" outlineLevel="1" ht="16" customHeight="1" s="254">
      <c r="A212" s="781" t="inlineStr">
        <is>
          <t>Conduit and trench</t>
        </is>
      </c>
      <c r="B212" s="863">
        <f>IF(Existing!$B$5="Greenfield — add load to existing service","n/a — no existing chargers",IF(Existing!$B$5="Greenfield — new service","n/a — greenfield",Existing!$B$17)</f>
        <v/>
      </c>
      <c r="C212" s="882">
        <f>IF($B$212="n/a — no existing chargers","No existing chargers — this element is new and priced in full.",IF($B$212="n/a — greenfield","Greenfield — there is nothing to retain, so this line has no bearing on the take-off. The full electrical scope is priced.",IF($B$212="RETAIN","Zero conduit, trenching, paving reinstatement and GPR. No ground is opened.",IF($B$212="NOT PRESENT","Not present on this site.","Price conduit and trenching in full.")))</f>
        <v/>
      </c>
      <c r="I212" s="804" t="n"/>
      <c r="J212" s="804" t="n"/>
      <c r="K212" s="804" t="n"/>
      <c r="L212" s="804" t="n"/>
      <c r="M212" s="804" t="n"/>
      <c r="N212" s="804" t="n"/>
      <c r="O212" s="804" t="n"/>
      <c r="P212" s="804" t="n"/>
      <c r="Q212" s="804" t="n"/>
      <c r="R212" s="804" t="n"/>
      <c r="S212" s="804" t="n"/>
      <c r="T212" s="804" t="n"/>
      <c r="U212" s="804" t="n"/>
      <c r="V212" s="804" t="n"/>
      <c r="W212" s="804" t="n"/>
      <c r="X212" s="804" t="n"/>
    </row>
    <row r="213" hidden="1" outlineLevel="1" ht="16" customHeight="1" s="254">
      <c r="A213" s="781" t="inlineStr">
        <is>
          <t>Branch breakers</t>
        </is>
      </c>
      <c r="B213" s="863">
        <f>IF(Existing!$B$5="Greenfield — add load to existing service","n/a — no existing chargers",IF(Existing!$B$5="Greenfield — new service","n/a — greenfield",Existing!$B$18)</f>
        <v/>
      </c>
      <c r="C213" s="882">
        <f>IF($B$213="n/a — no existing chargers","No existing chargers — this element is new and priced in full.",IF($B$213="n/a — greenfield","Greenfield — there is nothing to retain, so this line has no bearing on the take-off. The full electrical scope is priced.",IF($B$213="RETAIN","Rare. Breakers are normally replaced to match the new cabinet.",IF($B$213="NOT PRESENT","Not present on this site.","Price one breaker per new cabinet at the size on the Equipment tab.")))</f>
        <v/>
      </c>
      <c r="I213" s="804" t="n"/>
      <c r="J213" s="804" t="n"/>
      <c r="K213" s="804" t="n"/>
      <c r="L213" s="804" t="n"/>
      <c r="M213" s="804" t="n"/>
      <c r="N213" s="804" t="n"/>
      <c r="O213" s="804" t="n"/>
      <c r="P213" s="804" t="n"/>
      <c r="Q213" s="804" t="n"/>
      <c r="R213" s="804" t="n"/>
      <c r="S213" s="804" t="n"/>
      <c r="T213" s="804" t="n"/>
      <c r="U213" s="804" t="n"/>
      <c r="V213" s="804" t="n"/>
      <c r="W213" s="804" t="n"/>
      <c r="X213" s="804" t="n"/>
    </row>
    <row r="214" hidden="1" outlineLevel="1" ht="16" customHeight="1" s="254">
      <c r="A214" s="781" t="inlineStr">
        <is>
          <t>Electrical scope profile</t>
        </is>
      </c>
      <c r="B214" s="810">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214" s="814" t="inlineStr">
        <is>
          <t>The one-line summary of what the electrical estimate should contain.</t>
        </is>
      </c>
      <c r="I214" s="804" t="n"/>
      <c r="J214" s="804" t="n"/>
      <c r="K214" s="804" t="n"/>
      <c r="L214" s="804" t="n"/>
      <c r="M214" s="804" t="n"/>
      <c r="N214" s="804" t="n"/>
      <c r="O214" s="804" t="n"/>
      <c r="P214" s="804" t="n"/>
      <c r="Q214" s="804" t="n"/>
      <c r="R214" s="804" t="n"/>
      <c r="S214" s="804" t="n"/>
      <c r="T214" s="804" t="n"/>
      <c r="U214" s="804" t="n"/>
      <c r="V214" s="804" t="n"/>
      <c r="W214" s="804" t="n"/>
      <c r="X214" s="804" t="n"/>
    </row>
    <row r="215" hidden="1" outlineLevel="1" ht="31" customHeight="1" s="254">
      <c r="A215" s="781" t="inlineStr">
        <is>
          <t>Reuse feasibility</t>
        </is>
      </c>
      <c r="B215" s="810">
        <f>IF(Existing!$B$5="Greenfield — new service","n/a",Existing!$B$198)</f>
        <v/>
      </c>
      <c r="C215" s="814" t="inlineStr">
        <is>
          <t>The service verdict from the Existing tab section I, repeated here where the electrical estimate is actually built.</t>
        </is>
      </c>
      <c r="I215" s="804" t="n"/>
      <c r="J215" s="804" t="n"/>
      <c r="K215" s="804" t="n"/>
      <c r="L215" s="804" t="n"/>
      <c r="M215" s="804" t="n"/>
      <c r="N215" s="804" t="n"/>
      <c r="O215" s="804" t="n"/>
      <c r="P215" s="804" t="n"/>
      <c r="Q215" s="804" t="n"/>
      <c r="R215" s="804" t="n"/>
      <c r="S215" s="804" t="n"/>
      <c r="T215" s="804" t="n"/>
      <c r="U215" s="804" t="n"/>
      <c r="V215" s="804" t="n"/>
      <c r="W215" s="804" t="n"/>
      <c r="X215" s="804" t="n"/>
    </row>
    <row r="216" hidden="1" outlineLevel="1" ht="16" customHeight="1" s="254">
      <c r="A216" s="811" t="n"/>
      <c r="B216" s="804" t="n"/>
      <c r="C216" s="804" t="n"/>
      <c r="D216" s="804" t="n"/>
      <c r="E216" s="804" t="n"/>
      <c r="F216" s="804" t="n"/>
      <c r="G216" s="804" t="n"/>
      <c r="H216" s="804" t="n"/>
      <c r="I216" s="804" t="n"/>
      <c r="J216" s="804" t="n"/>
      <c r="K216" s="804" t="n"/>
      <c r="L216" s="804" t="n"/>
      <c r="M216" s="804" t="n"/>
      <c r="N216" s="804" t="n"/>
      <c r="O216" s="804" t="n"/>
      <c r="P216" s="804" t="n"/>
      <c r="Q216" s="804" t="n"/>
      <c r="R216" s="804" t="n"/>
      <c r="S216" s="804" t="n"/>
      <c r="T216" s="804" t="n"/>
      <c r="U216" s="804" t="n"/>
      <c r="V216" s="804" t="n"/>
      <c r="W216" s="804" t="n"/>
      <c r="X216" s="804" t="n"/>
    </row>
    <row r="217" ht="19.75" customHeight="1" s="254">
      <c r="A217" s="798" t="inlineStr">
        <is>
          <t>H · CONDUCTOR SIZING TABLE FOR THIS SITE (auto) — what block B picks from</t>
        </is>
      </c>
      <c r="I217" s="804" t="n"/>
      <c r="J217" s="804" t="n"/>
      <c r="K217" s="804" t="n"/>
      <c r="L217" s="804" t="n"/>
      <c r="M217" s="804" t="n"/>
      <c r="N217" s="804" t="n"/>
      <c r="O217" s="804" t="n"/>
      <c r="P217" s="804" t="n"/>
      <c r="Q217" s="804" t="n"/>
      <c r="R217" s="804" t="n"/>
      <c r="S217" s="804" t="n"/>
      <c r="T217" s="804" t="n"/>
      <c r="U217" s="804" t="n"/>
      <c r="V217" s="804" t="n"/>
      <c r="W217" s="804" t="n"/>
      <c r="X217" s="804" t="n"/>
    </row>
    <row r="218" hidden="1" outlineLevel="1" ht="31" customHeight="1" s="254">
      <c r="A218" s="814"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218" s="804" t="n"/>
      <c r="V218" s="804" t="n"/>
      <c r="W218" s="804" t="n"/>
      <c r="X218" s="804" t="n"/>
    </row>
    <row r="219" hidden="1" outlineLevel="1" ht="43.5" customHeight="1" s="254">
      <c r="A219" s="806" t="inlineStr">
        <is>
          <t>Conductor</t>
        </is>
      </c>
      <c r="B219" s="806" t="inlineStr">
        <is>
          <t>Table ampacity at the insulation rating (auto)</t>
        </is>
      </c>
      <c r="C219" s="806" t="inlineStr">
        <is>
          <t>Ambient factor (auto)</t>
        </is>
      </c>
      <c r="D219" s="806" t="inlineStr">
        <is>
          <t>Corrected, capped (auto)</t>
        </is>
      </c>
      <c r="E219" s="806" t="inlineStr">
        <is>
          <t>Impedance ohm/1000 ft (auto)</t>
        </is>
      </c>
      <c r="F219" s="806" t="inlineStr">
        <is>
          <t>Material $/ft (auto)</t>
        </is>
      </c>
      <c r="G219" s="804" t="n"/>
      <c r="H219" s="804" t="n"/>
      <c r="I219" s="804" t="n"/>
      <c r="J219" s="804" t="n"/>
      <c r="K219" s="804" t="n"/>
      <c r="L219" s="804" t="n"/>
      <c r="M219" s="804" t="n"/>
      <c r="N219" s="804" t="n"/>
      <c r="O219" s="804" t="n"/>
      <c r="P219" s="804" t="n"/>
      <c r="Q219" s="804" t="n"/>
      <c r="R219" s="804" t="n"/>
      <c r="S219" s="804" t="n"/>
      <c r="T219" s="804" t="n"/>
      <c r="U219" s="804" t="n"/>
      <c r="V219" s="804" t="n"/>
      <c r="W219" s="804" t="n"/>
      <c r="X219" s="804" t="n"/>
    </row>
    <row r="220" hidden="1" outlineLevel="1" ht="16" customHeight="1" s="254">
      <c r="A220" s="876" t="inlineStr">
        <is>
          <t>10 AWG</t>
        </is>
      </c>
      <c r="B220" s="865">
        <f>IFERROR(N(INDEX(AMP_TBL,MATCH($A220,AMP_SIZE,0),MATCH($B$6&amp;"-"&amp;TEXT($B$11,"0"),AMP_HDR,0))),0)</f>
        <v/>
      </c>
      <c r="C220" s="883">
        <f>IF($B$10="",0,IFERROR(N(INDEX(AMB_TBL,IF(ISNUMBER(MATCH($B$10,AMB_MAX,0)),MATCH($B$10,AMB_MAX,0),MATCH($B$10,AMB_MAX,1)+1),MATCH(TEXT($B$11,"0"),AMB_HDR,0))),0))</f>
        <v/>
      </c>
      <c r="D220" s="865">
        <f>IF(N($C220)=0,0,MIN(N($B220)*N($C220),IFERROR(N(INDEX(AMP_TBL,MATCH($A220,AMP_SIZE,0),MATCH($B$6&amp;"-"&amp;TEXT($B$12,"0"),AMP_HDR,0))),0)))</f>
        <v/>
      </c>
      <c r="E220" s="884">
        <f>IFERROR(N(INDEX(Z_TBL,MATCH($A220,Z_SIZE,0),IF($B$6="Cu",1,2))),0)</f>
        <v/>
      </c>
      <c r="F220" s="885">
        <f>IFERROR(N(INDEX(IF($B$6="Cu",WIRE_CU,WIRE_AL),MATCH($A220,WIRE_SIZE,0))),0)</f>
        <v/>
      </c>
      <c r="G220" s="804" t="n"/>
      <c r="H220" s="804" t="n"/>
      <c r="I220" s="804" t="n"/>
      <c r="J220" s="804" t="n"/>
      <c r="K220" s="804" t="n"/>
      <c r="L220" s="804" t="n"/>
      <c r="M220" s="804" t="n"/>
      <c r="N220" s="804" t="n"/>
      <c r="O220" s="804" t="n"/>
      <c r="P220" s="804" t="n"/>
      <c r="Q220" s="804" t="n"/>
      <c r="R220" s="804" t="n"/>
      <c r="S220" s="804" t="n"/>
      <c r="T220" s="804" t="n"/>
      <c r="U220" s="804" t="n"/>
      <c r="V220" s="804" t="n"/>
      <c r="W220" s="804" t="n"/>
      <c r="X220" s="804" t="n"/>
    </row>
    <row r="221" hidden="1" outlineLevel="1" ht="16" customHeight="1" s="254">
      <c r="A221" s="876" t="inlineStr">
        <is>
          <t>8 AWG</t>
        </is>
      </c>
      <c r="B221" s="865">
        <f>IFERROR(N(INDEX(AMP_TBL,MATCH($A221,AMP_SIZE,0),MATCH($B$6&amp;"-"&amp;TEXT($B$11,"0"),AMP_HDR,0))),0)</f>
        <v/>
      </c>
      <c r="C221" s="883">
        <f>IF($B$10="",0,IFERROR(N(INDEX(AMB_TBL,IF(ISNUMBER(MATCH($B$10,AMB_MAX,0)),MATCH($B$10,AMB_MAX,0),MATCH($B$10,AMB_MAX,1)+1),MATCH(TEXT($B$11,"0"),AMB_HDR,0))),0))</f>
        <v/>
      </c>
      <c r="D221" s="865">
        <f>IF(N($C221)=0,0,MIN(N($B221)*N($C221),IFERROR(N(INDEX(AMP_TBL,MATCH($A221,AMP_SIZE,0),MATCH($B$6&amp;"-"&amp;TEXT($B$12,"0"),AMP_HDR,0))),0)))</f>
        <v/>
      </c>
      <c r="E221" s="884">
        <f>IFERROR(N(INDEX(Z_TBL,MATCH($A221,Z_SIZE,0),IF($B$6="Cu",1,2))),0)</f>
        <v/>
      </c>
      <c r="F221" s="885">
        <f>IFERROR(N(INDEX(IF($B$6="Cu",WIRE_CU,WIRE_AL),MATCH($A221,WIRE_SIZE,0))),0)</f>
        <v/>
      </c>
      <c r="G221" s="804" t="n"/>
      <c r="H221" s="804" t="n"/>
      <c r="I221" s="804" t="n"/>
      <c r="J221" s="804" t="n"/>
      <c r="K221" s="804" t="n"/>
      <c r="L221" s="804" t="n"/>
      <c r="M221" s="804" t="n"/>
      <c r="N221" s="804" t="n"/>
      <c r="O221" s="804" t="n"/>
      <c r="P221" s="804" t="n"/>
      <c r="Q221" s="804" t="n"/>
      <c r="R221" s="804" t="n"/>
      <c r="S221" s="804" t="n"/>
      <c r="T221" s="804" t="n"/>
      <c r="U221" s="804" t="n"/>
      <c r="V221" s="804" t="n"/>
      <c r="W221" s="804" t="n"/>
      <c r="X221" s="804" t="n"/>
    </row>
    <row r="222" hidden="1" outlineLevel="1" ht="16" customHeight="1" s="254">
      <c r="A222" s="876" t="inlineStr">
        <is>
          <t>6 AWG</t>
        </is>
      </c>
      <c r="B222" s="865">
        <f>IFERROR(N(INDEX(AMP_TBL,MATCH($A222,AMP_SIZE,0),MATCH($B$6&amp;"-"&amp;TEXT($B$11,"0"),AMP_HDR,0))),0)</f>
        <v/>
      </c>
      <c r="C222" s="883">
        <f>IF($B$10="",0,IFERROR(N(INDEX(AMB_TBL,IF(ISNUMBER(MATCH($B$10,AMB_MAX,0)),MATCH($B$10,AMB_MAX,0),MATCH($B$10,AMB_MAX,1)+1),MATCH(TEXT($B$11,"0"),AMB_HDR,0))),0))</f>
        <v/>
      </c>
      <c r="D222" s="865">
        <f>IF(N($C222)=0,0,MIN(N($B222)*N($C222),IFERROR(N(INDEX(AMP_TBL,MATCH($A222,AMP_SIZE,0),MATCH($B$6&amp;"-"&amp;TEXT($B$12,"0"),AMP_HDR,0))),0)))</f>
        <v/>
      </c>
      <c r="E222" s="884">
        <f>IFERROR(N(INDEX(Z_TBL,MATCH($A222,Z_SIZE,0),IF($B$6="Cu",1,2))),0)</f>
        <v/>
      </c>
      <c r="F222" s="885">
        <f>IFERROR(N(INDEX(IF($B$6="Cu",WIRE_CU,WIRE_AL),MATCH($A222,WIRE_SIZE,0))),0)</f>
        <v/>
      </c>
      <c r="G222" s="804" t="n"/>
      <c r="H222" s="804" t="n"/>
      <c r="I222" s="804" t="n"/>
      <c r="J222" s="804" t="n"/>
      <c r="K222" s="804" t="n"/>
      <c r="L222" s="804" t="n"/>
      <c r="M222" s="804" t="n"/>
      <c r="N222" s="804" t="n"/>
      <c r="O222" s="804" t="n"/>
      <c r="P222" s="804" t="n"/>
      <c r="Q222" s="804" t="n"/>
      <c r="R222" s="804" t="n"/>
      <c r="S222" s="804" t="n"/>
      <c r="T222" s="804" t="n"/>
      <c r="U222" s="804" t="n"/>
      <c r="V222" s="804" t="n"/>
      <c r="W222" s="804" t="n"/>
      <c r="X222" s="804" t="n"/>
    </row>
    <row r="223" hidden="1" outlineLevel="1" ht="16" customHeight="1" s="254">
      <c r="A223" s="876" t="inlineStr">
        <is>
          <t>4 AWG</t>
        </is>
      </c>
      <c r="B223" s="865">
        <f>IFERROR(N(INDEX(AMP_TBL,MATCH($A223,AMP_SIZE,0),MATCH($B$6&amp;"-"&amp;TEXT($B$11,"0"),AMP_HDR,0))),0)</f>
        <v/>
      </c>
      <c r="C223" s="883">
        <f>IF($B$10="",0,IFERROR(N(INDEX(AMB_TBL,IF(ISNUMBER(MATCH($B$10,AMB_MAX,0)),MATCH($B$10,AMB_MAX,0),MATCH($B$10,AMB_MAX,1)+1),MATCH(TEXT($B$11,"0"),AMB_HDR,0))),0))</f>
        <v/>
      </c>
      <c r="D223" s="865">
        <f>IF(N($C223)=0,0,MIN(N($B223)*N($C223),IFERROR(N(INDEX(AMP_TBL,MATCH($A223,AMP_SIZE,0),MATCH($B$6&amp;"-"&amp;TEXT($B$12,"0"),AMP_HDR,0))),0)))</f>
        <v/>
      </c>
      <c r="E223" s="884">
        <f>IFERROR(N(INDEX(Z_TBL,MATCH($A223,Z_SIZE,0),IF($B$6="Cu",1,2))),0)</f>
        <v/>
      </c>
      <c r="F223" s="885">
        <f>IFERROR(N(INDEX(IF($B$6="Cu",WIRE_CU,WIRE_AL),MATCH($A223,WIRE_SIZE,0))),0)</f>
        <v/>
      </c>
      <c r="G223" s="804" t="n"/>
      <c r="H223" s="804" t="n"/>
      <c r="I223" s="804" t="n"/>
      <c r="J223" s="804" t="n"/>
      <c r="K223" s="804" t="n"/>
      <c r="L223" s="804" t="n"/>
      <c r="M223" s="804" t="n"/>
      <c r="N223" s="804" t="n"/>
      <c r="O223" s="804" t="n"/>
      <c r="P223" s="804" t="n"/>
      <c r="Q223" s="804" t="n"/>
      <c r="R223" s="804" t="n"/>
      <c r="S223" s="804" t="n"/>
      <c r="T223" s="804" t="n"/>
      <c r="U223" s="804" t="n"/>
      <c r="V223" s="804" t="n"/>
      <c r="W223" s="804" t="n"/>
      <c r="X223" s="804" t="n"/>
    </row>
    <row r="224" hidden="1" outlineLevel="1" ht="16" customHeight="1" s="254">
      <c r="A224" s="876" t="inlineStr">
        <is>
          <t>2 AWG</t>
        </is>
      </c>
      <c r="B224" s="865">
        <f>IFERROR(N(INDEX(AMP_TBL,MATCH($A224,AMP_SIZE,0),MATCH($B$6&amp;"-"&amp;TEXT($B$11,"0"),AMP_HDR,0))),0)</f>
        <v/>
      </c>
      <c r="C224" s="883">
        <f>IF($B$10="",0,IFERROR(N(INDEX(AMB_TBL,IF(ISNUMBER(MATCH($B$10,AMB_MAX,0)),MATCH($B$10,AMB_MAX,0),MATCH($B$10,AMB_MAX,1)+1),MATCH(TEXT($B$11,"0"),AMB_HDR,0))),0))</f>
        <v/>
      </c>
      <c r="D224" s="865">
        <f>IF(N($C224)=0,0,MIN(N($B224)*N($C224),IFERROR(N(INDEX(AMP_TBL,MATCH($A224,AMP_SIZE,0),MATCH($B$6&amp;"-"&amp;TEXT($B$12,"0"),AMP_HDR,0))),0)))</f>
        <v/>
      </c>
      <c r="E224" s="884">
        <f>IFERROR(N(INDEX(Z_TBL,MATCH($A224,Z_SIZE,0),IF($B$6="Cu",1,2))),0)</f>
        <v/>
      </c>
      <c r="F224" s="885">
        <f>IFERROR(N(INDEX(IF($B$6="Cu",WIRE_CU,WIRE_AL),MATCH($A224,WIRE_SIZE,0))),0)</f>
        <v/>
      </c>
      <c r="G224" s="804" t="n"/>
      <c r="H224" s="804" t="n"/>
      <c r="I224" s="804" t="n"/>
      <c r="J224" s="804" t="n"/>
      <c r="K224" s="804" t="n"/>
      <c r="L224" s="804" t="n"/>
      <c r="M224" s="804" t="n"/>
      <c r="N224" s="804" t="n"/>
      <c r="O224" s="804" t="n"/>
      <c r="P224" s="804" t="n"/>
      <c r="Q224" s="804" t="n"/>
      <c r="R224" s="804" t="n"/>
      <c r="S224" s="804" t="n"/>
      <c r="T224" s="804" t="n"/>
      <c r="U224" s="804" t="n"/>
      <c r="V224" s="804" t="n"/>
      <c r="W224" s="804" t="n"/>
      <c r="X224" s="804" t="n"/>
    </row>
    <row r="225" hidden="1" outlineLevel="1" ht="16" customHeight="1" s="254">
      <c r="A225" s="876" t="inlineStr">
        <is>
          <t>1 AWG</t>
        </is>
      </c>
      <c r="B225" s="865">
        <f>IFERROR(N(INDEX(AMP_TBL,MATCH($A225,AMP_SIZE,0),MATCH($B$6&amp;"-"&amp;TEXT($B$11,"0"),AMP_HDR,0))),0)</f>
        <v/>
      </c>
      <c r="C225" s="883">
        <f>IF($B$10="",0,IFERROR(N(INDEX(AMB_TBL,IF(ISNUMBER(MATCH($B$10,AMB_MAX,0)),MATCH($B$10,AMB_MAX,0),MATCH($B$10,AMB_MAX,1)+1),MATCH(TEXT($B$11,"0"),AMB_HDR,0))),0))</f>
        <v/>
      </c>
      <c r="D225" s="865">
        <f>IF(N($C225)=0,0,MIN(N($B225)*N($C225),IFERROR(N(INDEX(AMP_TBL,MATCH($A225,AMP_SIZE,0),MATCH($B$6&amp;"-"&amp;TEXT($B$12,"0"),AMP_HDR,0))),0)))</f>
        <v/>
      </c>
      <c r="E225" s="884">
        <f>IFERROR(N(INDEX(Z_TBL,MATCH($A225,Z_SIZE,0),IF($B$6="Cu",1,2))),0)</f>
        <v/>
      </c>
      <c r="F225" s="885">
        <f>IFERROR(N(INDEX(IF($B$6="Cu",WIRE_CU,WIRE_AL),MATCH($A225,WIRE_SIZE,0))),0)</f>
        <v/>
      </c>
      <c r="G225" s="804" t="n"/>
      <c r="H225" s="804" t="n"/>
      <c r="I225" s="804" t="n"/>
      <c r="J225" s="804" t="n"/>
      <c r="K225" s="804" t="n"/>
      <c r="L225" s="804" t="n"/>
      <c r="M225" s="804" t="n"/>
      <c r="N225" s="804" t="n"/>
      <c r="O225" s="804" t="n"/>
      <c r="P225" s="804" t="n"/>
      <c r="Q225" s="804" t="n"/>
      <c r="R225" s="804" t="n"/>
      <c r="S225" s="804" t="n"/>
      <c r="T225" s="804" t="n"/>
      <c r="U225" s="804" t="n"/>
      <c r="V225" s="804" t="n"/>
      <c r="W225" s="804" t="n"/>
      <c r="X225" s="804" t="n"/>
    </row>
    <row r="226" hidden="1" outlineLevel="1" ht="16" customHeight="1" s="254">
      <c r="A226" s="876" t="inlineStr">
        <is>
          <t>1 /0</t>
        </is>
      </c>
      <c r="B226" s="865">
        <f>IFERROR(N(INDEX(AMP_TBL,MATCH($A226,AMP_SIZE,0),MATCH($B$6&amp;"-"&amp;TEXT($B$11,"0"),AMP_HDR,0))),0)</f>
        <v/>
      </c>
      <c r="C226" s="883">
        <f>IF($B$10="",0,IFERROR(N(INDEX(AMB_TBL,IF(ISNUMBER(MATCH($B$10,AMB_MAX,0)),MATCH($B$10,AMB_MAX,0),MATCH($B$10,AMB_MAX,1)+1),MATCH(TEXT($B$11,"0"),AMB_HDR,0))),0))</f>
        <v/>
      </c>
      <c r="D226" s="865">
        <f>IF(N($C226)=0,0,MIN(N($B226)*N($C226),IFERROR(N(INDEX(AMP_TBL,MATCH($A226,AMP_SIZE,0),MATCH($B$6&amp;"-"&amp;TEXT($B$12,"0"),AMP_HDR,0))),0)))</f>
        <v/>
      </c>
      <c r="E226" s="884">
        <f>IFERROR(N(INDEX(Z_TBL,MATCH($A226,Z_SIZE,0),IF($B$6="Cu",1,2))),0)</f>
        <v/>
      </c>
      <c r="F226" s="885">
        <f>IFERROR(N(INDEX(IF($B$6="Cu",WIRE_CU,WIRE_AL),MATCH($A226,WIRE_SIZE,0))),0)</f>
        <v/>
      </c>
      <c r="G226" s="804" t="n"/>
      <c r="H226" s="804" t="n"/>
      <c r="I226" s="804" t="n"/>
      <c r="J226" s="804" t="n"/>
      <c r="K226" s="804" t="n"/>
      <c r="L226" s="804" t="n"/>
      <c r="M226" s="804" t="n"/>
      <c r="N226" s="804" t="n"/>
      <c r="O226" s="804" t="n"/>
      <c r="P226" s="804" t="n"/>
      <c r="Q226" s="804" t="n"/>
      <c r="R226" s="804" t="n"/>
      <c r="S226" s="804" t="n"/>
      <c r="T226" s="804" t="n"/>
      <c r="U226" s="804" t="n"/>
      <c r="V226" s="804" t="n"/>
      <c r="W226" s="804" t="n"/>
      <c r="X226" s="804" t="n"/>
    </row>
    <row r="227" hidden="1" outlineLevel="1" ht="16" customHeight="1" s="254">
      <c r="A227" s="876" t="inlineStr">
        <is>
          <t>2 /0</t>
        </is>
      </c>
      <c r="B227" s="865">
        <f>IFERROR(N(INDEX(AMP_TBL,MATCH($A227,AMP_SIZE,0),MATCH($B$6&amp;"-"&amp;TEXT($B$11,"0"),AMP_HDR,0))),0)</f>
        <v/>
      </c>
      <c r="C227" s="883">
        <f>IF($B$10="",0,IFERROR(N(INDEX(AMB_TBL,IF(ISNUMBER(MATCH($B$10,AMB_MAX,0)),MATCH($B$10,AMB_MAX,0),MATCH($B$10,AMB_MAX,1)+1),MATCH(TEXT($B$11,"0"),AMB_HDR,0))),0))</f>
        <v/>
      </c>
      <c r="D227" s="865">
        <f>IF(N($C227)=0,0,MIN(N($B227)*N($C227),IFERROR(N(INDEX(AMP_TBL,MATCH($A227,AMP_SIZE,0),MATCH($B$6&amp;"-"&amp;TEXT($B$12,"0"),AMP_HDR,0))),0)))</f>
        <v/>
      </c>
      <c r="E227" s="884">
        <f>IFERROR(N(INDEX(Z_TBL,MATCH($A227,Z_SIZE,0),IF($B$6="Cu",1,2))),0)</f>
        <v/>
      </c>
      <c r="F227" s="885">
        <f>IFERROR(N(INDEX(IF($B$6="Cu",WIRE_CU,WIRE_AL),MATCH($A227,WIRE_SIZE,0))),0)</f>
        <v/>
      </c>
      <c r="G227" s="804" t="n"/>
      <c r="H227" s="804" t="n"/>
      <c r="I227" s="804" t="n"/>
      <c r="J227" s="804" t="n"/>
      <c r="K227" s="804" t="n"/>
      <c r="L227" s="804" t="n"/>
      <c r="M227" s="804" t="n"/>
      <c r="N227" s="804" t="n"/>
      <c r="O227" s="804" t="n"/>
      <c r="P227" s="804" t="n"/>
      <c r="Q227" s="804" t="n"/>
      <c r="R227" s="804" t="n"/>
      <c r="S227" s="804" t="n"/>
      <c r="T227" s="804" t="n"/>
      <c r="U227" s="804" t="n"/>
      <c r="V227" s="804" t="n"/>
      <c r="W227" s="804" t="n"/>
      <c r="X227" s="804" t="n"/>
    </row>
    <row r="228" hidden="1" outlineLevel="1" ht="16" customHeight="1" s="254">
      <c r="A228" s="876" t="inlineStr">
        <is>
          <t>3 /0</t>
        </is>
      </c>
      <c r="B228" s="865">
        <f>IFERROR(N(INDEX(AMP_TBL,MATCH($A228,AMP_SIZE,0),MATCH($B$6&amp;"-"&amp;TEXT($B$11,"0"),AMP_HDR,0))),0)</f>
        <v/>
      </c>
      <c r="C228" s="883">
        <f>IF($B$10="",0,IFERROR(N(INDEX(AMB_TBL,IF(ISNUMBER(MATCH($B$10,AMB_MAX,0)),MATCH($B$10,AMB_MAX,0),MATCH($B$10,AMB_MAX,1)+1),MATCH(TEXT($B$11,"0"),AMB_HDR,0))),0))</f>
        <v/>
      </c>
      <c r="D228" s="865">
        <f>IF(N($C228)=0,0,MIN(N($B228)*N($C228),IFERROR(N(INDEX(AMP_TBL,MATCH($A228,AMP_SIZE,0),MATCH($B$6&amp;"-"&amp;TEXT($B$12,"0"),AMP_HDR,0))),0)))</f>
        <v/>
      </c>
      <c r="E228" s="884">
        <f>IFERROR(N(INDEX(Z_TBL,MATCH($A228,Z_SIZE,0),IF($B$6="Cu",1,2))),0)</f>
        <v/>
      </c>
      <c r="F228" s="885">
        <f>IFERROR(N(INDEX(IF($B$6="Cu",WIRE_CU,WIRE_AL),MATCH($A228,WIRE_SIZE,0))),0)</f>
        <v/>
      </c>
      <c r="G228" s="804" t="n"/>
      <c r="H228" s="804" t="n"/>
      <c r="I228" s="804" t="n"/>
      <c r="J228" s="804" t="n"/>
      <c r="K228" s="804" t="n"/>
      <c r="L228" s="804" t="n"/>
      <c r="M228" s="804" t="n"/>
      <c r="N228" s="804" t="n"/>
      <c r="O228" s="804" t="n"/>
      <c r="P228" s="804" t="n"/>
      <c r="Q228" s="804" t="n"/>
      <c r="R228" s="804" t="n"/>
      <c r="S228" s="804" t="n"/>
      <c r="T228" s="804" t="n"/>
      <c r="U228" s="804" t="n"/>
      <c r="V228" s="804" t="n"/>
      <c r="W228" s="804" t="n"/>
      <c r="X228" s="804" t="n"/>
    </row>
    <row r="229" hidden="1" outlineLevel="1" ht="16" customHeight="1" s="254">
      <c r="A229" s="876" t="inlineStr">
        <is>
          <t>4 /0</t>
        </is>
      </c>
      <c r="B229" s="865">
        <f>IFERROR(N(INDEX(AMP_TBL,MATCH($A229,AMP_SIZE,0),MATCH($B$6&amp;"-"&amp;TEXT($B$11,"0"),AMP_HDR,0))),0)</f>
        <v/>
      </c>
      <c r="C229" s="883">
        <f>IF($B$10="",0,IFERROR(N(INDEX(AMB_TBL,IF(ISNUMBER(MATCH($B$10,AMB_MAX,0)),MATCH($B$10,AMB_MAX,0),MATCH($B$10,AMB_MAX,1)+1),MATCH(TEXT($B$11,"0"),AMB_HDR,0))),0))</f>
        <v/>
      </c>
      <c r="D229" s="865">
        <f>IF(N($C229)=0,0,MIN(N($B229)*N($C229),IFERROR(N(INDEX(AMP_TBL,MATCH($A229,AMP_SIZE,0),MATCH($B$6&amp;"-"&amp;TEXT($B$12,"0"),AMP_HDR,0))),0)))</f>
        <v/>
      </c>
      <c r="E229" s="884">
        <f>IFERROR(N(INDEX(Z_TBL,MATCH($A229,Z_SIZE,0),IF($B$6="Cu",1,2))),0)</f>
        <v/>
      </c>
      <c r="F229" s="885">
        <f>IFERROR(N(INDEX(IF($B$6="Cu",WIRE_CU,WIRE_AL),MATCH($A229,WIRE_SIZE,0))),0)</f>
        <v/>
      </c>
      <c r="G229" s="804" t="n"/>
      <c r="H229" s="804" t="n"/>
      <c r="I229" s="804" t="n"/>
      <c r="J229" s="804" t="n"/>
      <c r="K229" s="804" t="n"/>
      <c r="L229" s="804" t="n"/>
      <c r="M229" s="804" t="n"/>
      <c r="N229" s="804" t="n"/>
      <c r="O229" s="804" t="n"/>
      <c r="P229" s="804" t="n"/>
      <c r="Q229" s="804" t="n"/>
      <c r="R229" s="804" t="n"/>
      <c r="S229" s="804" t="n"/>
      <c r="T229" s="804" t="n"/>
      <c r="U229" s="804" t="n"/>
      <c r="V229" s="804" t="n"/>
      <c r="W229" s="804" t="n"/>
      <c r="X229" s="804" t="n"/>
    </row>
    <row r="230" hidden="1" outlineLevel="1" ht="16" customHeight="1" s="254">
      <c r="A230" s="876" t="inlineStr">
        <is>
          <t>250 KCMIL</t>
        </is>
      </c>
      <c r="B230" s="865">
        <f>IFERROR(N(INDEX(AMP_TBL,MATCH($A230,AMP_SIZE,0),MATCH($B$6&amp;"-"&amp;TEXT($B$11,"0"),AMP_HDR,0))),0)</f>
        <v/>
      </c>
      <c r="C230" s="883">
        <f>IF($B$10="",0,IFERROR(N(INDEX(AMB_TBL,IF(ISNUMBER(MATCH($B$10,AMB_MAX,0)),MATCH($B$10,AMB_MAX,0),MATCH($B$10,AMB_MAX,1)+1),MATCH(TEXT($B$11,"0"),AMB_HDR,0))),0))</f>
        <v/>
      </c>
      <c r="D230" s="865">
        <f>IF(N($C230)=0,0,MIN(N($B230)*N($C230),IFERROR(N(INDEX(AMP_TBL,MATCH($A230,AMP_SIZE,0),MATCH($B$6&amp;"-"&amp;TEXT($B$12,"0"),AMP_HDR,0))),0)))</f>
        <v/>
      </c>
      <c r="E230" s="884">
        <f>IFERROR(N(INDEX(Z_TBL,MATCH($A230,Z_SIZE,0),IF($B$6="Cu",1,2))),0)</f>
        <v/>
      </c>
      <c r="F230" s="885">
        <f>IFERROR(N(INDEX(IF($B$6="Cu",WIRE_CU,WIRE_AL),MATCH($A230,WIRE_SIZE,0))),0)</f>
        <v/>
      </c>
      <c r="G230" s="804" t="n"/>
      <c r="H230" s="804" t="n"/>
      <c r="I230" s="804" t="n"/>
      <c r="J230" s="804" t="n"/>
      <c r="K230" s="804" t="n"/>
      <c r="L230" s="804" t="n"/>
      <c r="M230" s="804" t="n"/>
      <c r="N230" s="804" t="n"/>
      <c r="O230" s="804" t="n"/>
      <c r="P230" s="804" t="n"/>
      <c r="Q230" s="804" t="n"/>
      <c r="R230" s="804" t="n"/>
      <c r="S230" s="804" t="n"/>
      <c r="T230" s="804" t="n"/>
      <c r="U230" s="804" t="n"/>
      <c r="V230" s="804" t="n"/>
      <c r="W230" s="804" t="n"/>
      <c r="X230" s="804" t="n"/>
    </row>
    <row r="231" hidden="1" outlineLevel="1" ht="16" customHeight="1" s="254">
      <c r="A231" s="876" t="inlineStr">
        <is>
          <t>300 KCMIL</t>
        </is>
      </c>
      <c r="B231" s="865">
        <f>IFERROR(N(INDEX(AMP_TBL,MATCH($A231,AMP_SIZE,0),MATCH($B$6&amp;"-"&amp;TEXT($B$11,"0"),AMP_HDR,0))),0)</f>
        <v/>
      </c>
      <c r="C231" s="883">
        <f>IF($B$10="",0,IFERROR(N(INDEX(AMB_TBL,IF(ISNUMBER(MATCH($B$10,AMB_MAX,0)),MATCH($B$10,AMB_MAX,0),MATCH($B$10,AMB_MAX,1)+1),MATCH(TEXT($B$11,"0"),AMB_HDR,0))),0))</f>
        <v/>
      </c>
      <c r="D231" s="865">
        <f>IF(N($C231)=0,0,MIN(N($B231)*N($C231),IFERROR(N(INDEX(AMP_TBL,MATCH($A231,AMP_SIZE,0),MATCH($B$6&amp;"-"&amp;TEXT($B$12,"0"),AMP_HDR,0))),0)))</f>
        <v/>
      </c>
      <c r="E231" s="884">
        <f>IFERROR(N(INDEX(Z_TBL,MATCH($A231,Z_SIZE,0),IF($B$6="Cu",1,2))),0)</f>
        <v/>
      </c>
      <c r="F231" s="885">
        <f>IFERROR(N(INDEX(IF($B$6="Cu",WIRE_CU,WIRE_AL),MATCH($A231,WIRE_SIZE,0))),0)</f>
        <v/>
      </c>
      <c r="G231" s="804" t="n"/>
      <c r="H231" s="804" t="n"/>
      <c r="I231" s="804" t="n"/>
      <c r="J231" s="804" t="n"/>
      <c r="K231" s="804" t="n"/>
      <c r="L231" s="804" t="n"/>
      <c r="M231" s="804" t="n"/>
      <c r="N231" s="804" t="n"/>
      <c r="O231" s="804" t="n"/>
      <c r="P231" s="804" t="n"/>
      <c r="Q231" s="804" t="n"/>
      <c r="R231" s="804" t="n"/>
      <c r="S231" s="804" t="n"/>
      <c r="T231" s="804" t="n"/>
      <c r="U231" s="804" t="n"/>
      <c r="V231" s="804" t="n"/>
      <c r="W231" s="804" t="n"/>
      <c r="X231" s="804" t="n"/>
    </row>
    <row r="232" hidden="1" outlineLevel="1" ht="16" customHeight="1" s="254">
      <c r="A232" s="876" t="inlineStr">
        <is>
          <t>350 KCMIL</t>
        </is>
      </c>
      <c r="B232" s="865">
        <f>IFERROR(N(INDEX(AMP_TBL,MATCH($A232,AMP_SIZE,0),MATCH($B$6&amp;"-"&amp;TEXT($B$11,"0"),AMP_HDR,0))),0)</f>
        <v/>
      </c>
      <c r="C232" s="883">
        <f>IF($B$10="",0,IFERROR(N(INDEX(AMB_TBL,IF(ISNUMBER(MATCH($B$10,AMB_MAX,0)),MATCH($B$10,AMB_MAX,0),MATCH($B$10,AMB_MAX,1)+1),MATCH(TEXT($B$11,"0"),AMB_HDR,0))),0))</f>
        <v/>
      </c>
      <c r="D232" s="865">
        <f>IF(N($C232)=0,0,MIN(N($B232)*N($C232),IFERROR(N(INDEX(AMP_TBL,MATCH($A232,AMP_SIZE,0),MATCH($B$6&amp;"-"&amp;TEXT($B$12,"0"),AMP_HDR,0))),0)))</f>
        <v/>
      </c>
      <c r="E232" s="884">
        <f>IFERROR(N(INDEX(Z_TBL,MATCH($A232,Z_SIZE,0),IF($B$6="Cu",1,2))),0)</f>
        <v/>
      </c>
      <c r="F232" s="885">
        <f>IFERROR(N(INDEX(IF($B$6="Cu",WIRE_CU,WIRE_AL),MATCH($A232,WIRE_SIZE,0))),0)</f>
        <v/>
      </c>
      <c r="G232" s="804" t="n"/>
      <c r="H232" s="804" t="n"/>
      <c r="I232" s="804" t="n"/>
      <c r="J232" s="804" t="n"/>
      <c r="K232" s="804" t="n"/>
      <c r="L232" s="804" t="n"/>
      <c r="M232" s="804" t="n"/>
      <c r="N232" s="804" t="n"/>
      <c r="O232" s="804" t="n"/>
      <c r="P232" s="804" t="n"/>
      <c r="Q232" s="804" t="n"/>
      <c r="R232" s="804" t="n"/>
      <c r="S232" s="804" t="n"/>
      <c r="T232" s="804" t="n"/>
      <c r="U232" s="804" t="n"/>
      <c r="V232" s="804" t="n"/>
      <c r="W232" s="804" t="n"/>
      <c r="X232" s="804" t="n"/>
    </row>
    <row r="233" hidden="1" outlineLevel="1" ht="16" customHeight="1" s="254">
      <c r="A233" s="876" t="inlineStr">
        <is>
          <t>400 KCMIL</t>
        </is>
      </c>
      <c r="B233" s="865">
        <f>IFERROR(N(INDEX(AMP_TBL,MATCH($A233,AMP_SIZE,0),MATCH($B$6&amp;"-"&amp;TEXT($B$11,"0"),AMP_HDR,0))),0)</f>
        <v/>
      </c>
      <c r="C233" s="883">
        <f>IF($B$10="",0,IFERROR(N(INDEX(AMB_TBL,IF(ISNUMBER(MATCH($B$10,AMB_MAX,0)),MATCH($B$10,AMB_MAX,0),MATCH($B$10,AMB_MAX,1)+1),MATCH(TEXT($B$11,"0"),AMB_HDR,0))),0))</f>
        <v/>
      </c>
      <c r="D233" s="865">
        <f>IF(N($C233)=0,0,MIN(N($B233)*N($C233),IFERROR(N(INDEX(AMP_TBL,MATCH($A233,AMP_SIZE,0),MATCH($B$6&amp;"-"&amp;TEXT($B$12,"0"),AMP_HDR,0))),0)))</f>
        <v/>
      </c>
      <c r="E233" s="884">
        <f>IFERROR(N(INDEX(Z_TBL,MATCH($A233,Z_SIZE,0),IF($B$6="Cu",1,2))),0)</f>
        <v/>
      </c>
      <c r="F233" s="885">
        <f>IFERROR(N(INDEX(IF($B$6="Cu",WIRE_CU,WIRE_AL),MATCH($A233,WIRE_SIZE,0))),0)</f>
        <v/>
      </c>
      <c r="G233" s="804" t="n"/>
      <c r="H233" s="804" t="n"/>
      <c r="I233" s="804" t="n"/>
      <c r="J233" s="804" t="n"/>
      <c r="K233" s="804" t="n"/>
      <c r="L233" s="804" t="n"/>
      <c r="M233" s="804" t="n"/>
      <c r="N233" s="804" t="n"/>
      <c r="O233" s="804" t="n"/>
      <c r="P233" s="804" t="n"/>
      <c r="Q233" s="804" t="n"/>
      <c r="R233" s="804" t="n"/>
      <c r="S233" s="804" t="n"/>
      <c r="T233" s="804" t="n"/>
      <c r="U233" s="804" t="n"/>
      <c r="V233" s="804" t="n"/>
      <c r="W233" s="804" t="n"/>
      <c r="X233" s="804" t="n"/>
    </row>
    <row r="234" hidden="1" outlineLevel="1" ht="16" customHeight="1" s="254">
      <c r="A234" s="876" t="inlineStr">
        <is>
          <t>500 KCMIL</t>
        </is>
      </c>
      <c r="B234" s="865">
        <f>IFERROR(N(INDEX(AMP_TBL,MATCH($A234,AMP_SIZE,0),MATCH($B$6&amp;"-"&amp;TEXT($B$11,"0"),AMP_HDR,0))),0)</f>
        <v/>
      </c>
      <c r="C234" s="883">
        <f>IF($B$10="",0,IFERROR(N(INDEX(AMB_TBL,IF(ISNUMBER(MATCH($B$10,AMB_MAX,0)),MATCH($B$10,AMB_MAX,0),MATCH($B$10,AMB_MAX,1)+1),MATCH(TEXT($B$11,"0"),AMB_HDR,0))),0))</f>
        <v/>
      </c>
      <c r="D234" s="865">
        <f>IF(N($C234)=0,0,MIN(N($B234)*N($C234),IFERROR(N(INDEX(AMP_TBL,MATCH($A234,AMP_SIZE,0),MATCH($B$6&amp;"-"&amp;TEXT($B$12,"0"),AMP_HDR,0))),0)))</f>
        <v/>
      </c>
      <c r="E234" s="884">
        <f>IFERROR(N(INDEX(Z_TBL,MATCH($A234,Z_SIZE,0),IF($B$6="Cu",1,2))),0)</f>
        <v/>
      </c>
      <c r="F234" s="885">
        <f>IFERROR(N(INDEX(IF($B$6="Cu",WIRE_CU,WIRE_AL),MATCH($A234,WIRE_SIZE,0))),0)</f>
        <v/>
      </c>
      <c r="G234" s="804" t="n"/>
      <c r="H234" s="804" t="n"/>
      <c r="I234" s="804" t="n"/>
      <c r="J234" s="804" t="n"/>
      <c r="K234" s="804" t="n"/>
      <c r="L234" s="804" t="n"/>
      <c r="M234" s="804" t="n"/>
      <c r="N234" s="804" t="n"/>
      <c r="O234" s="804" t="n"/>
      <c r="P234" s="804" t="n"/>
      <c r="Q234" s="804" t="n"/>
      <c r="R234" s="804" t="n"/>
      <c r="S234" s="804" t="n"/>
      <c r="T234" s="804" t="n"/>
      <c r="U234" s="804" t="n"/>
      <c r="V234" s="804" t="n"/>
      <c r="W234" s="804" t="n"/>
      <c r="X234" s="804" t="n"/>
    </row>
    <row r="235" hidden="1" outlineLevel="1" ht="16" customHeight="1" s="254">
      <c r="A235" s="876" t="inlineStr">
        <is>
          <t>600 KCMIL</t>
        </is>
      </c>
      <c r="B235" s="865">
        <f>IFERROR(N(INDEX(AMP_TBL,MATCH($A235,AMP_SIZE,0),MATCH($B$6&amp;"-"&amp;TEXT($B$11,"0"),AMP_HDR,0))),0)</f>
        <v/>
      </c>
      <c r="C235" s="883">
        <f>IF($B$10="",0,IFERROR(N(INDEX(AMB_TBL,IF(ISNUMBER(MATCH($B$10,AMB_MAX,0)),MATCH($B$10,AMB_MAX,0),MATCH($B$10,AMB_MAX,1)+1),MATCH(TEXT($B$11,"0"),AMB_HDR,0))),0))</f>
        <v/>
      </c>
      <c r="D235" s="865">
        <f>IF(N($C235)=0,0,MIN(N($B235)*N($C235),IFERROR(N(INDEX(AMP_TBL,MATCH($A235,AMP_SIZE,0),MATCH($B$6&amp;"-"&amp;TEXT($B$12,"0"),AMP_HDR,0))),0)))</f>
        <v/>
      </c>
      <c r="E235" s="884">
        <f>IFERROR(N(INDEX(Z_TBL,MATCH($A235,Z_SIZE,0),IF($B$6="Cu",1,2))),0)</f>
        <v/>
      </c>
      <c r="F235" s="885">
        <f>IFERROR(N(INDEX(IF($B$6="Cu",WIRE_CU,WIRE_AL),MATCH($A235,WIRE_SIZE,0))),0)</f>
        <v/>
      </c>
      <c r="G235" s="804" t="n"/>
      <c r="H235" s="804" t="n"/>
      <c r="I235" s="804" t="n"/>
      <c r="J235" s="804" t="n"/>
      <c r="K235" s="804" t="n"/>
      <c r="L235" s="804" t="n"/>
      <c r="M235" s="804" t="n"/>
      <c r="N235" s="804" t="n"/>
      <c r="O235" s="804" t="n"/>
      <c r="P235" s="804" t="n"/>
      <c r="Q235" s="804" t="n"/>
      <c r="R235" s="804" t="n"/>
      <c r="S235" s="804" t="n"/>
      <c r="T235" s="804" t="n"/>
      <c r="U235" s="804" t="n"/>
      <c r="V235" s="804" t="n"/>
      <c r="W235" s="804" t="n"/>
      <c r="X235" s="804" t="n"/>
    </row>
    <row r="236" hidden="1" outlineLevel="1" ht="16" customHeight="1" s="254">
      <c r="A236" s="876" t="inlineStr">
        <is>
          <t>750 KCMIL</t>
        </is>
      </c>
      <c r="B236" s="865">
        <f>IFERROR(N(INDEX(AMP_TBL,MATCH($A236,AMP_SIZE,0),MATCH($B$6&amp;"-"&amp;TEXT($B$11,"0"),AMP_HDR,0))),0)</f>
        <v/>
      </c>
      <c r="C236" s="883">
        <f>IF($B$10="",0,IFERROR(N(INDEX(AMB_TBL,IF(ISNUMBER(MATCH($B$10,AMB_MAX,0)),MATCH($B$10,AMB_MAX,0),MATCH($B$10,AMB_MAX,1)+1),MATCH(TEXT($B$11,"0"),AMB_HDR,0))),0))</f>
        <v/>
      </c>
      <c r="D236" s="865">
        <f>IF(N($C236)=0,0,MIN(N($B236)*N($C236),IFERROR(N(INDEX(AMP_TBL,MATCH($A236,AMP_SIZE,0),MATCH($B$6&amp;"-"&amp;TEXT($B$12,"0"),AMP_HDR,0))),0)))</f>
        <v/>
      </c>
      <c r="E236" s="884">
        <f>IFERROR(N(INDEX(Z_TBL,MATCH($A236,Z_SIZE,0),IF($B$6="Cu",1,2))),0)</f>
        <v/>
      </c>
      <c r="F236" s="885">
        <f>IFERROR(N(INDEX(IF($B$6="Cu",WIRE_CU,WIRE_AL),MATCH($A236,WIRE_SIZE,0))),0)</f>
        <v/>
      </c>
      <c r="G236" s="804" t="n"/>
      <c r="H236" s="804" t="n"/>
      <c r="I236" s="804" t="n"/>
      <c r="J236" s="804" t="n"/>
      <c r="K236" s="804" t="n"/>
      <c r="L236" s="804" t="n"/>
      <c r="M236" s="804" t="n"/>
      <c r="N236" s="804" t="n"/>
      <c r="O236" s="804" t="n"/>
      <c r="P236" s="804" t="n"/>
      <c r="Q236" s="804" t="n"/>
      <c r="R236" s="804" t="n"/>
      <c r="S236" s="804" t="n"/>
      <c r="T236" s="804" t="n"/>
      <c r="U236" s="804" t="n"/>
      <c r="V236" s="804" t="n"/>
      <c r="W236" s="804" t="n"/>
      <c r="X236" s="804" t="n"/>
    </row>
    <row r="237" hidden="1" outlineLevel="1" ht="16" customHeight="1" s="254">
      <c r="A237" s="876" t="inlineStr">
        <is>
          <t>1000 KCMIL</t>
        </is>
      </c>
      <c r="B237" s="865">
        <f>IFERROR(N(INDEX(AMP_TBL,MATCH($A237,AMP_SIZE,0),MATCH($B$6&amp;"-"&amp;TEXT($B$11,"0"),AMP_HDR,0))),0)</f>
        <v/>
      </c>
      <c r="C237" s="883">
        <f>IF($B$10="",0,IFERROR(N(INDEX(AMB_TBL,IF(ISNUMBER(MATCH($B$10,AMB_MAX,0)),MATCH($B$10,AMB_MAX,0),MATCH($B$10,AMB_MAX,1)+1),MATCH(TEXT($B$11,"0"),AMB_HDR,0))),0))</f>
        <v/>
      </c>
      <c r="D237" s="865">
        <f>IF(N($C237)=0,0,MIN(N($B237)*N($C237),IFERROR(N(INDEX(AMP_TBL,MATCH($A237,AMP_SIZE,0),MATCH($B$6&amp;"-"&amp;TEXT($B$12,"0"),AMP_HDR,0))),0)))</f>
        <v/>
      </c>
      <c r="E237" s="884">
        <f>IFERROR(N(INDEX(Z_TBL,MATCH($A237,Z_SIZE,0),IF($B$6="Cu",1,2))),0)</f>
        <v/>
      </c>
      <c r="F237" s="885">
        <f>IFERROR(N(INDEX(IF($B$6="Cu",WIRE_CU,WIRE_AL),MATCH($A237,WIRE_SIZE,0))),0)</f>
        <v/>
      </c>
      <c r="G237" s="804" t="n"/>
      <c r="H237" s="804" t="n"/>
      <c r="I237" s="804" t="n"/>
      <c r="J237" s="804" t="n"/>
      <c r="K237" s="804" t="n"/>
      <c r="L237" s="804" t="n"/>
      <c r="M237" s="804" t="n"/>
      <c r="N237" s="804" t="n"/>
      <c r="O237" s="804" t="n"/>
      <c r="P237" s="804" t="n"/>
      <c r="Q237" s="804" t="n"/>
      <c r="R237" s="804" t="n"/>
      <c r="S237" s="804" t="n"/>
      <c r="T237" s="804" t="n"/>
      <c r="U237" s="804" t="n"/>
      <c r="V237" s="804" t="n"/>
      <c r="W237" s="804" t="n"/>
      <c r="X237" s="804" t="n"/>
    </row>
  </sheetData>
  <sheetProtection selectLockedCells="0" selectUnlockedCells="0" sheet="1" objects="0" insertRows="1" insertHyperlinks="1" autoFilter="1" scenarios="0" formatColumns="0" deleteColumns="1" insertColumns="1" pivotTables="1" deleteRows="1" formatCells="1" formatRows="0" sort="1"/>
  <mergeCells count="77">
    <mergeCell ref="C196:H196"/>
    <mergeCell ref="C85:H85"/>
    <mergeCell ref="C9:H9"/>
    <mergeCell ref="C133:H133"/>
    <mergeCell ref="C198:H198"/>
    <mergeCell ref="C11:H11"/>
    <mergeCell ref="A183:H183"/>
    <mergeCell ref="C144:H144"/>
    <mergeCell ref="A16:T16"/>
    <mergeCell ref="C81:H81"/>
    <mergeCell ref="C208:H208"/>
    <mergeCell ref="A163:T163"/>
    <mergeCell ref="C13:H13"/>
    <mergeCell ref="C145:H145"/>
    <mergeCell ref="A5:H5"/>
    <mergeCell ref="C154:H154"/>
    <mergeCell ref="C210:H210"/>
    <mergeCell ref="C89:H89"/>
    <mergeCell ref="C187:H187"/>
    <mergeCell ref="C88:H88"/>
    <mergeCell ref="C10:H10"/>
    <mergeCell ref="C212:H212"/>
    <mergeCell ref="C93:H93"/>
    <mergeCell ref="A15:H15"/>
    <mergeCell ref="C214:H214"/>
    <mergeCell ref="C207:H207"/>
    <mergeCell ref="C213:H213"/>
    <mergeCell ref="A153:T153"/>
    <mergeCell ref="C149:H149"/>
    <mergeCell ref="C190:H190"/>
    <mergeCell ref="C199:H199"/>
    <mergeCell ref="A2:H2"/>
    <mergeCell ref="A204:H204"/>
    <mergeCell ref="C6:H6"/>
    <mergeCell ref="C185:H185"/>
    <mergeCell ref="C191:H191"/>
    <mergeCell ref="C147:H147"/>
    <mergeCell ref="C137:H137"/>
    <mergeCell ref="C211:H211"/>
    <mergeCell ref="A79:H79"/>
    <mergeCell ref="C90:H90"/>
    <mergeCell ref="C139:H139"/>
    <mergeCell ref="C148:H148"/>
    <mergeCell ref="C188:H188"/>
    <mergeCell ref="A162:H162"/>
    <mergeCell ref="C138:H138"/>
    <mergeCell ref="C8:H8"/>
    <mergeCell ref="A218:T218"/>
    <mergeCell ref="A217:H217"/>
    <mergeCell ref="C155:H155"/>
    <mergeCell ref="C86:H86"/>
    <mergeCell ref="C157:H157"/>
    <mergeCell ref="A184:T184"/>
    <mergeCell ref="C215:H215"/>
    <mergeCell ref="C128:H128"/>
    <mergeCell ref="C200:H200"/>
    <mergeCell ref="A92:H92"/>
    <mergeCell ref="C84:H84"/>
    <mergeCell ref="C193:H193"/>
    <mergeCell ref="C142:H142"/>
    <mergeCell ref="C80:H80"/>
    <mergeCell ref="C129:H129"/>
    <mergeCell ref="A1:H1"/>
    <mergeCell ref="C12:H12"/>
    <mergeCell ref="C192:H192"/>
    <mergeCell ref="C178:H178"/>
    <mergeCell ref="C194:H194"/>
    <mergeCell ref="A205:T205"/>
    <mergeCell ref="C7:H7"/>
    <mergeCell ref="C209:H209"/>
    <mergeCell ref="A136:H136"/>
    <mergeCell ref="A3:T3"/>
    <mergeCell ref="C140:H140"/>
    <mergeCell ref="C156:H156"/>
    <mergeCell ref="C141:H141"/>
    <mergeCell ref="C197:H197"/>
    <mergeCell ref="C206:H206"/>
  </mergeCells>
  <conditionalFormatting sqref="E18:G77 L18:M77 R18:R77">
    <cfRule type="expression" priority="1" dxfId="0">
      <formula>$A18=""</formula>
    </cfRule>
  </conditionalFormatting>
  <conditionalFormatting sqref="F18:G77 L18:M77 R18:R77">
    <cfRule type="expression" priority="2" dxfId="0">
      <formula>$U18=0</formula>
    </cfRule>
  </conditionalFormatting>
  <conditionalFormatting sqref="C95:C126 E95:H126">
    <cfRule type="expression" priority="3" dxfId="0">
      <formula>$A95=""</formula>
    </cfRule>
  </conditionalFormatting>
  <dataValidations count="28">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77" showDropDown="0" showInputMessage="0" showErrorMessage="0" allowBlank="1" type="list">
      <formula1>"Yes,No"</formula1>
    </dataValidation>
    <dataValidation sqref="L18:L77" showDropDown="0" showInputMessage="0" showErrorMessage="0" allowBlank="1" type="list">
      <formula1>WIRE_SIZE</formula1>
    </dataValidation>
    <dataValidation sqref="R18:R77" showDropDown="0" showInputMessage="0" showErrorMessage="0" allowBlank="1" type="list">
      <formula1>PVC_SIZE</formula1>
    </dataValidation>
    <dataValidation sqref="E95:E126" showDropDown="0" showInputMessage="0" showErrorMessage="0" allowBlank="1" type="list">
      <formula1>WIRE_SIZE</formula1>
    </dataValidation>
    <dataValidation sqref="F95:F126" showDropDown="0" showInputMessage="0" showErrorMessage="0" allowBlank="1" type="list">
      <formula1>WIRE_SIZE</formula1>
    </dataValidation>
    <dataValidation sqref="G95:G126" showDropDown="0" showInputMessage="0" showErrorMessage="0" allowBlank="1" type="list">
      <formula1>PVC_SIZE</formula1>
    </dataValidation>
    <dataValidation sqref="H95:H126" showDropDown="0" showInputMessage="0" showErrorMessage="0" allowBlank="1" type="list">
      <formula1>"Yes,No"</formula1>
    </dataValidation>
    <dataValidation sqref="B144" showDropDown="0" showInputMessage="0" showErrorMessage="0" allowBlank="1" type="list">
      <formula1>"No,Yes"</formula1>
    </dataValidation>
    <dataValidation sqref="B154" showDropDown="0" showInputMessage="0" showErrorMessage="0" allowBlank="1" type="list">
      <formula1>"Service conductor — NEC 230.42,Feeder — NEC 240.4(C)"</formula1>
    </dataValidation>
    <dataValidation sqref="B155" showDropDown="0" showInputMessage="0" showErrorMessage="0" allowBlank="1" type="list">
      <formula1>"Utility — EV infrastructure rule,Zero Impact Energy,Existing — retained"</formula1>
    </dataValidation>
    <dataValidation sqref="B160" showDropDown="0" showInputMessage="0" showErrorMessage="0" allowBlank="1" type="list">
      <formula1>"Cu,Al"</formula1>
    </dataValidation>
    <dataValidation sqref="I160" showDropDown="0" showInputMessage="0" showErrorMessage="0" allowBlank="1" type="list">
      <formula1>WIRE_SIZE</formula1>
    </dataValidation>
    <dataValidation sqref="B165:B176" showDropDown="0" showInputMessage="0" showErrorMessage="0" allowBlank="1" type="list">
      <formula1>"Service disconnect,Switchboard,Tap box,Panelboard,Subpanel,Transformer,EVSE disconnect,Meter / CT cabinet,Utility substation,Other"</formula1>
    </dataValidation>
    <dataValidation sqref="K165:K176" showDropDown="0" showInputMessage="0" showErrorMessage="0" allowBlank="1" type="list">
      <formula1>"Vendor quote,RefData rate,Priced elsewhere in this workbook,By others,Allowance"</formula1>
    </dataValidation>
    <dataValidation sqref="J165:J176" showDropDown="0" showInputMessage="0" showErrorMessage="0" allowBlank="1" type="list">
      <formula1>"Zero Impact Energy,Utility,By others,Vendor"</formula1>
    </dataValidation>
    <dataValidation sqref="B185" showDropDown="0" showInputMessage="0" showErrorMessage="0" allowBlank="1" type="list">
      <formula1>"New service,Added load to existing service"</formula1>
    </dataValidation>
    <dataValidation sqref="B186" showDropDown="0" showInputMessage="0" showErrorMessage="0" allowBlank="1" type="list">
      <formula1>"Underground,Overhead"</formula1>
    </dataValidation>
    <dataValidation sqref="B188" showDropDown="0" showInputMessage="0" showErrorMessage="0" allowBlank="1" type="list">
      <formula1>"Yes,No,In preparation"</formula1>
    </dataValidation>
    <dataValidation sqref="B192" showDropDown="0" showInputMessage="0" showErrorMessage="0" allowBlank="1" type="list">
      <formula1>"Unknown — design not yet submitted,No,Yes"</formula1>
    </dataValidation>
    <dataValidation sqref="B195" showDropDown="0" showInputMessage="0" showErrorMessage="0" allowBlank="1" type="list">
      <formula1>"No,Yes,Unknown"</formula1>
    </dataValidation>
    <dataValidation sqref="B196" showDropDown="0" showInputMessage="0" showErrorMessage="0" allowBlank="1" type="list">
      <formula1>"Only if Rule 15/16 contribution arises,Yes,No"</formula1>
    </dataValidation>
    <dataValidation sqref="B197" showDropDown="0" showInputMessage="0" showErrorMessage="0" allowBlank="1" type="list">
      <formula1>"Yes,No,To be confirmed"</formula1>
    </dataValidation>
    <dataValidation sqref="B198" showDropDown="0" showInputMessage="0" showErrorMessage="0" allowBlank="1" type="list">
      <formula1>"Yes,No,In preparation"</formula1>
    </dataValidation>
    <dataValidation sqref="B199" showDropDown="0" showInputMessage="0" showErrorMessage="0" allowBlank="1" type="list">
      <formula1>"Yes,No,To be confirmed"</formula1>
    </dataValidation>
    <dataValidation sqref="B200" showDropDown="0" showInputMessage="0" showErrorMessage="0" allowBlank="1" type="list">
      <formula1>"Yes,No,To be confirmed"</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7"/>
    <col width="10" customWidth="1" style="254" min="5" max="5"/>
    <col width="10" customWidth="1" style="254" min="6" max="6"/>
    <col width="10" customWidth="1" style="254" min="7" max="7"/>
  </cols>
  <sheetData>
    <row r="1" ht="26" customHeight="1" s="254">
      <c r="A1" s="790" t="inlineStr">
        <is>
          <t>4 · CONSTRUCTION SCOPE</t>
        </is>
      </c>
      <c r="G1" s="804" t="n"/>
    </row>
    <row r="2" ht="43.5" customHeight="1" s="254">
      <c r="A2" s="792" t="inlineStr">
        <is>
          <t>Site works and labour. Defaults come from the standard build; override where the site differs.</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Labour</t>
        </is>
      </c>
      <c r="B4" s="804" t="n"/>
      <c r="C4" s="804" t="n"/>
      <c r="D4" s="804" t="n"/>
      <c r="E4" s="804" t="n"/>
      <c r="F4" s="804" t="n"/>
      <c r="G4" s="804" t="n"/>
    </row>
    <row r="5" ht="31" customHeight="1" s="254">
      <c r="A5" s="781" t="inlineStr">
        <is>
          <t>Crew days on site</t>
        </is>
      </c>
      <c r="B5" s="817" t="n">
        <v>34</v>
      </c>
      <c r="C5" s="792" t="inlineStr">
        <is>
          <t>Must match the construction schedule you publish</t>
        </is>
      </c>
      <c r="D5" s="804" t="n"/>
      <c r="E5" s="804" t="n"/>
      <c r="F5" s="804" t="n"/>
      <c r="G5" s="804" t="n"/>
    </row>
    <row r="6" ht="16" customHeight="1" s="254">
      <c r="A6" s="781" t="inlineStr">
        <is>
          <t>Crew day rate</t>
        </is>
      </c>
      <c r="B6" s="833" t="n">
        <v>2750</v>
      </c>
      <c r="C6" s="792" t="inlineStr">
        <is>
          <t>Fully burdened</t>
        </is>
      </c>
      <c r="D6" s="804" t="n"/>
      <c r="E6" s="804" t="n"/>
      <c r="F6" s="804" t="n"/>
      <c r="G6" s="804" t="n"/>
    </row>
    <row r="7" ht="16" customHeight="1" s="254">
      <c r="A7" s="781" t="inlineStr">
        <is>
          <t>Contingency on labour</t>
        </is>
      </c>
      <c r="B7" s="886" t="n">
        <v>0.1</v>
      </c>
      <c r="C7" s="804" t="n"/>
      <c r="D7" s="804" t="n"/>
      <c r="E7" s="804" t="n"/>
      <c r="F7" s="804" t="n"/>
      <c r="G7" s="804" t="n"/>
    </row>
    <row r="8" ht="31" customHeight="1" s="254">
      <c r="A8" s="781" t="inlineStr">
        <is>
          <t>Markup on labour</t>
        </is>
      </c>
      <c r="B8" s="887" t="n">
        <v>0.2</v>
      </c>
      <c r="C8" s="792" t="inlineStr">
        <is>
          <t>House standing decision: 20%, applied after contingency. Change it per project on purpose, not by inheriting the last one.</t>
        </is>
      </c>
    </row>
    <row r="9" ht="31" customHeight="1" s="254">
      <c r="A9" s="781" t="inlineStr">
        <is>
          <t>Labour total</t>
        </is>
      </c>
      <c r="B9" s="851">
        <f>B5*B6*(1+B7)*(1+B8)</f>
        <v/>
      </c>
      <c r="C9" s="792" t="inlineStr">
        <is>
          <t>Days x rate x (1 + contingency) x (1 + markup)</t>
        </is>
      </c>
      <c r="D9" s="804" t="n"/>
      <c r="E9" s="804" t="n"/>
      <c r="F9" s="804" t="n"/>
      <c r="G9" s="804" t="n"/>
    </row>
    <row r="10" ht="16" customHeight="1" s="254">
      <c r="A10" s="781" t="inlineStr">
        <is>
          <t>Construction PM as % of labour</t>
        </is>
      </c>
      <c r="B10" s="886" t="n">
        <v>0.15</v>
      </c>
      <c r="C10" s="804" t="n"/>
      <c r="D10" s="804" t="n"/>
      <c r="E10" s="804" t="n"/>
      <c r="F10" s="804" t="n"/>
      <c r="G10" s="804" t="n"/>
    </row>
    <row r="11" ht="16" customHeight="1" s="254">
      <c r="A11" s="811" t="n"/>
      <c r="B11" s="804" t="n"/>
      <c r="C11" s="804" t="n"/>
      <c r="D11" s="804" t="n"/>
      <c r="E11" s="804" t="n"/>
      <c r="F11" s="804" t="n"/>
      <c r="G11" s="804" t="n"/>
    </row>
    <row r="12" ht="33.5" customHeight="1" s="254">
      <c r="A12" s="798" t="inlineStr">
        <is>
          <t>Site works — enter quantities, leave blank to use the standard build</t>
        </is>
      </c>
      <c r="B12" s="804" t="n"/>
      <c r="C12" s="804" t="n"/>
      <c r="D12" s="804" t="n"/>
      <c r="E12" s="804" t="n"/>
      <c r="F12" s="804" t="n"/>
      <c r="G12" s="804" t="n"/>
    </row>
    <row r="13" ht="16" customHeight="1" s="254">
      <c r="A13" s="801" t="inlineStr">
        <is>
          <t>Item</t>
        </is>
      </c>
      <c r="B13" s="801" t="inlineStr">
        <is>
          <t>Quantity</t>
        </is>
      </c>
      <c r="C13" s="801" t="inlineStr">
        <is>
          <t>Unit basis</t>
        </is>
      </c>
      <c r="D13" s="801" t="inlineStr">
        <is>
          <t>Unit cost</t>
        </is>
      </c>
      <c r="E13" s="801" t="inlineStr">
        <is>
          <t>Include?</t>
        </is>
      </c>
      <c r="F13" s="804" t="n"/>
      <c r="G13" s="804" t="n"/>
    </row>
    <row r="14" ht="16" customHeight="1" s="254">
      <c r="A14" s="888" t="inlineStr">
        <is>
          <t>Concrete (yd3)</t>
        </is>
      </c>
      <c r="B14" s="799" t="n">
        <v>6</v>
      </c>
      <c r="C14" s="792" t="inlineStr">
        <is>
          <t>Pads per cabinet</t>
        </is>
      </c>
      <c r="D14" s="889" t="n">
        <v>193.54</v>
      </c>
      <c r="E14" s="799" t="inlineStr">
        <is>
          <t>Y</t>
        </is>
      </c>
      <c r="F14" s="804" t="n"/>
      <c r="G14" s="804" t="n"/>
    </row>
    <row r="15" ht="16" customHeight="1" s="254">
      <c r="A15" s="888" t="inlineStr">
        <is>
          <t>Rebar (ea)</t>
        </is>
      </c>
      <c r="B15" s="799" t="n"/>
      <c r="C15" s="792" t="inlineStr">
        <is>
          <t>3 per cabinet</t>
        </is>
      </c>
      <c r="D15" s="889" t="n">
        <v>25.65</v>
      </c>
      <c r="E15" s="799" t="inlineStr">
        <is>
          <t>Y</t>
        </is>
      </c>
      <c r="F15" s="804" t="n"/>
      <c r="G15" s="804" t="n"/>
    </row>
    <row r="16" ht="16" customHeight="1" s="254">
      <c r="A16" s="888" t="inlineStr">
        <is>
          <t>Steel mesh roll (ea)</t>
        </is>
      </c>
      <c r="B16" s="799" t="n"/>
      <c r="C16" s="890" t="n"/>
      <c r="D16" s="889" t="n">
        <v>169</v>
      </c>
      <c r="E16" s="799" t="inlineStr">
        <is>
          <t>Y</t>
        </is>
      </c>
      <c r="F16" s="804" t="n"/>
      <c r="G16" s="804" t="n"/>
    </row>
    <row r="17" ht="31" customHeight="1" s="254">
      <c r="A17" s="888" t="inlineStr">
        <is>
          <t>Asphalt / paving (sq ft)</t>
        </is>
      </c>
      <c r="B17" s="799" t="n">
        <v>400</v>
      </c>
      <c r="C17" s="792" t="inlineStr">
        <is>
          <t>Trench restoration — $15/sq ft set by ZIE, 28 Aug 2026</t>
        </is>
      </c>
      <c r="D17" s="889" t="n">
        <v>15</v>
      </c>
      <c r="E17" s="799" t="inlineStr">
        <is>
          <t>Y</t>
        </is>
      </c>
      <c r="F17" s="804" t="n"/>
      <c r="G17" s="804" t="n"/>
    </row>
    <row r="18" ht="16" customHeight="1" s="254">
      <c r="A18" s="888" t="inlineStr">
        <is>
          <t>Striping (lot)</t>
        </is>
      </c>
      <c r="B18" s="799" t="n"/>
      <c r="C18" s="890" t="n"/>
      <c r="D18" s="889" t="n">
        <v>1500</v>
      </c>
      <c r="E18" s="799" t="inlineStr">
        <is>
          <t>Y</t>
        </is>
      </c>
      <c r="F18" s="804" t="n"/>
      <c r="G18" s="804" t="n"/>
    </row>
    <row r="19" ht="16" customHeight="1" s="254">
      <c r="A19" s="888" t="inlineStr">
        <is>
          <t>ADA stalls (ea)</t>
        </is>
      </c>
      <c r="B19" s="799" t="n">
        <v>2</v>
      </c>
      <c r="C19" s="792" t="inlineStr">
        <is>
          <t>2% of stalls, min 1</t>
        </is>
      </c>
      <c r="D19" s="889" t="n">
        <v>4900</v>
      </c>
      <c r="E19" s="799" t="inlineStr">
        <is>
          <t>Y</t>
        </is>
      </c>
      <c r="F19" s="804" t="n"/>
      <c r="G19" s="804" t="n"/>
    </row>
    <row r="20" ht="16" customHeight="1" s="254">
      <c r="A20" s="888" t="inlineStr">
        <is>
          <t>ADA ramp (ea)</t>
        </is>
      </c>
      <c r="B20" s="799" t="n">
        <v>1</v>
      </c>
      <c r="C20" s="890" t="n"/>
      <c r="D20" s="889" t="n">
        <v>5200</v>
      </c>
      <c r="E20" s="799" t="inlineStr">
        <is>
          <t>Y</t>
        </is>
      </c>
      <c r="F20" s="804" t="n"/>
      <c r="G20" s="804" t="n"/>
    </row>
    <row r="21" ht="16" customHeight="1" s="254">
      <c r="A21" s="888" t="inlineStr">
        <is>
          <t>Bollards (ea)</t>
        </is>
      </c>
      <c r="B21" s="799" t="n">
        <v>12</v>
      </c>
      <c r="C21" s="792" t="inlineStr">
        <is>
          <t>4 per DC cabinet / 2 + 6</t>
        </is>
      </c>
      <c r="D21" s="889" t="n">
        <v>110</v>
      </c>
      <c r="E21" s="799" t="inlineStr">
        <is>
          <t>Y</t>
        </is>
      </c>
      <c r="F21" s="804" t="n"/>
      <c r="G21" s="804" t="n"/>
    </row>
    <row r="22" ht="16" customHeight="1" s="254">
      <c r="A22" s="888" t="inlineStr">
        <is>
          <t>Signs (ea)</t>
        </is>
      </c>
      <c r="B22" s="799" t="n"/>
      <c r="C22" s="792" t="inlineStr">
        <is>
          <t>2 per DC cabinet</t>
        </is>
      </c>
      <c r="D22" s="889" t="n">
        <v>40</v>
      </c>
      <c r="E22" s="799" t="inlineStr">
        <is>
          <t>Y</t>
        </is>
      </c>
      <c r="F22" s="804" t="n"/>
      <c r="G22" s="804" t="n"/>
    </row>
    <row r="23" ht="16" customHeight="1" s="254">
      <c r="A23" s="888" t="inlineStr">
        <is>
          <t>Sign posts (ea)</t>
        </is>
      </c>
      <c r="B23" s="799" t="n"/>
      <c r="C23" s="890" t="n"/>
      <c r="D23" s="889" t="n">
        <v>56.1</v>
      </c>
      <c r="E23" s="799" t="inlineStr">
        <is>
          <t>Y</t>
        </is>
      </c>
      <c r="F23" s="804" t="n"/>
      <c r="G23" s="804" t="n"/>
    </row>
    <row r="24" ht="16" customHeight="1" s="254">
      <c r="A24" s="888" t="inlineStr">
        <is>
          <t>Switchgear sign (ea)</t>
        </is>
      </c>
      <c r="B24" s="799" t="n"/>
      <c r="C24" s="890" t="n"/>
      <c r="D24" s="889" t="n">
        <v>150</v>
      </c>
      <c r="E24" s="799" t="inlineStr">
        <is>
          <t>Y</t>
        </is>
      </c>
      <c r="F24" s="804" t="n"/>
      <c r="G24" s="804" t="n"/>
    </row>
    <row r="25" ht="16" customHeight="1" s="254">
      <c r="A25" s="888" t="inlineStr">
        <is>
          <t>GPR scan (ea)</t>
        </is>
      </c>
      <c r="B25" s="799" t="n">
        <v>1</v>
      </c>
      <c r="C25" s="792" t="inlineStr">
        <is>
          <t>Underground utility locate</t>
        </is>
      </c>
      <c r="D25" s="889" t="n">
        <v>2500</v>
      </c>
      <c r="E25" s="799" t="inlineStr">
        <is>
          <t>Y</t>
        </is>
      </c>
      <c r="F25" s="804" t="n"/>
      <c r="G25" s="804" t="n"/>
    </row>
    <row r="26" ht="16" customHeight="1" s="254">
      <c r="A26" s="888" t="inlineStr">
        <is>
          <t>GFI test (ea)</t>
        </is>
      </c>
      <c r="B26" s="799" t="n">
        <v>1</v>
      </c>
      <c r="C26" s="792" t="inlineStr">
        <is>
          <t>Required above 1000 sq ft gear area</t>
        </is>
      </c>
      <c r="D26" s="889" t="n">
        <v>3500</v>
      </c>
      <c r="E26" s="799" t="inlineStr">
        <is>
          <t>Y</t>
        </is>
      </c>
      <c r="F26" s="804" t="n"/>
      <c r="G26" s="804" t="n"/>
    </row>
    <row r="27" ht="16" customHeight="1" s="254">
      <c r="A27" s="888" t="inlineStr">
        <is>
          <t>Dump / disposal (lot)</t>
        </is>
      </c>
      <c r="B27" s="799" t="n">
        <v>1</v>
      </c>
      <c r="C27" s="792" t="inlineStr">
        <is>
          <t>Freight and disposal</t>
        </is>
      </c>
      <c r="D27" s="889" t="n">
        <v>5000</v>
      </c>
      <c r="E27" s="799" t="inlineStr">
        <is>
          <t>Y</t>
        </is>
      </c>
      <c r="F27" s="804" t="n"/>
      <c r="G27" s="804" t="n"/>
    </row>
    <row r="28" ht="16" customHeight="1" s="254">
      <c r="A28" s="888" t="n"/>
      <c r="B28" s="891" t="n"/>
      <c r="C28" s="854" t="n"/>
      <c r="D28" s="891" t="n"/>
      <c r="E28" s="891" t="n"/>
      <c r="F28" s="804" t="n"/>
      <c r="G28" s="804" t="n"/>
    </row>
    <row r="29" ht="16" customHeight="1" s="254">
      <c r="A29" s="888" t="n"/>
      <c r="B29" s="891" t="n"/>
      <c r="C29" s="854" t="n"/>
      <c r="D29" s="891" t="n"/>
      <c r="E29" s="891" t="n"/>
      <c r="F29" s="804" t="n"/>
      <c r="G29" s="804" t="n"/>
    </row>
    <row r="30" ht="16" customHeight="1" s="254">
      <c r="A30" s="811" t="n"/>
      <c r="B30" s="804" t="n"/>
      <c r="C30" s="804" t="n"/>
      <c r="D30" s="804" t="n"/>
      <c r="E30" s="804" t="n"/>
      <c r="F30" s="804" t="n"/>
      <c r="G30" s="804" t="n"/>
    </row>
    <row r="31" ht="19.75" customHeight="1" s="254">
      <c r="A31" s="798" t="inlineStr">
        <is>
          <t>Design and engineering</t>
        </is>
      </c>
      <c r="B31" s="804" t="n"/>
      <c r="C31" s="804" t="n"/>
      <c r="D31" s="804" t="n"/>
      <c r="E31" s="804" t="n"/>
      <c r="F31" s="804" t="n"/>
      <c r="G31" s="804" t="n"/>
    </row>
    <row r="32" ht="31" customHeight="1" s="254">
      <c r="A32" s="781" t="inlineStr">
        <is>
          <t>AutoCAD design — drawing sets</t>
        </is>
      </c>
      <c r="B32" s="819" t="n">
        <v>3</v>
      </c>
      <c r="C32" s="792" t="inlineStr">
        <is>
          <t>One issued drawing package: site plan, equipment layout, civil details.</t>
        </is>
      </c>
      <c r="D32" s="889" t="n">
        <v>3412.5</v>
      </c>
      <c r="E32" s="804" t="n"/>
      <c r="F32" s="804" t="n"/>
      <c r="G32" s="804" t="n"/>
    </row>
    <row r="33" ht="31" customHeight="1" s="254">
      <c r="A33" s="781" t="inlineStr">
        <is>
          <t>Electrical engineering — drawing sets</t>
        </is>
      </c>
      <c r="B33" s="819" t="n">
        <v>3</v>
      </c>
      <c r="C33" s="792" t="inlineStr">
        <is>
          <t>One stamped electrical package: single-line, panel schedule, load calculation.</t>
        </is>
      </c>
      <c r="D33" s="889" t="n">
        <v>2080</v>
      </c>
      <c r="E33" s="804" t="n"/>
      <c r="F33" s="804" t="n"/>
      <c r="G33" s="804" t="n"/>
    </row>
    <row r="34" ht="31" customHeight="1" s="254">
      <c r="A34" s="781" t="inlineStr">
        <is>
          <t>Project management — hours</t>
        </is>
      </c>
      <c r="B34" s="819" t="n">
        <v>35</v>
      </c>
      <c r="C34" s="792" t="inlineStr">
        <is>
          <t>Billed hourly across design, permitting and construction.</t>
        </is>
      </c>
      <c r="D34" s="889" t="n">
        <v>358</v>
      </c>
      <c r="E34" s="804" t="n"/>
      <c r="F34" s="804" t="n"/>
      <c r="G34" s="804" t="n"/>
    </row>
    <row r="35" ht="31" customHeight="1" s="254">
      <c r="A35" s="781" t="inlineStr">
        <is>
          <t>Design and engineering total</t>
        </is>
      </c>
      <c r="B35" s="851">
        <f>SUMPRODUCT($B$32:$B$34,$D$32:$D$34)</f>
        <v/>
      </c>
      <c r="C35" s="811" t="inlineStr">
        <is>
          <t>Quantity in column B times the rate in column D. These are ZIE billing rates for work performed in house — change the rate here, not in a formula.</t>
        </is>
      </c>
    </row>
    <row r="36" ht="16" customHeight="1" s="254">
      <c r="A36" s="811" t="n"/>
      <c r="B36" s="804" t="n"/>
      <c r="C36" s="804" t="n"/>
      <c r="D36" s="804" t="n"/>
      <c r="E36" s="804" t="n"/>
      <c r="F36" s="804" t="n"/>
      <c r="G36" s="804" t="n"/>
    </row>
    <row r="37" ht="47.25" customHeight="1" s="254">
      <c r="A37" s="798" t="inlineStr">
        <is>
          <t>Equipment rentals — standard build, override durations if the job differs</t>
        </is>
      </c>
      <c r="B37" s="804" t="n"/>
      <c r="C37" s="804" t="n"/>
      <c r="D37" s="804" t="n"/>
      <c r="E37" s="804" t="n"/>
      <c r="F37" s="804" t="n"/>
      <c r="G37" s="804" t="n"/>
    </row>
    <row r="38" ht="16" customHeight="1" s="254">
      <c r="A38" s="801" t="inlineStr">
        <is>
          <t>Rental</t>
        </is>
      </c>
      <c r="B38" s="801" t="inlineStr">
        <is>
          <t>Qty</t>
        </is>
      </c>
      <c r="C38" s="801" t="inlineStr">
        <is>
          <t>Unit cost</t>
        </is>
      </c>
      <c r="D38" s="801" t="inlineStr">
        <is>
          <t>Days</t>
        </is>
      </c>
      <c r="E38" s="801" t="inlineStr">
        <is>
          <t>Include?</t>
        </is>
      </c>
      <c r="F38" s="804" t="n"/>
      <c r="G38" s="804" t="n"/>
    </row>
    <row r="39" ht="16" customHeight="1" s="254">
      <c r="A39" s="888" t="inlineStr">
        <is>
          <t>Fencing</t>
        </is>
      </c>
      <c r="B39" s="799" t="n"/>
      <c r="C39" s="889" t="n">
        <v>0.3</v>
      </c>
      <c r="D39" s="799" t="n"/>
      <c r="E39" s="799" t="inlineStr">
        <is>
          <t>Y</t>
        </is>
      </c>
      <c r="F39" s="804" t="n"/>
      <c r="G39" s="804" t="n"/>
    </row>
    <row r="40" ht="16" customHeight="1" s="254">
      <c r="A40" s="888" t="inlineStr">
        <is>
          <t>Mini x</t>
        </is>
      </c>
      <c r="B40" s="799" t="n">
        <v>1</v>
      </c>
      <c r="C40" s="889" t="n">
        <v>98.56666667</v>
      </c>
      <c r="D40" s="799" t="n">
        <v>30</v>
      </c>
      <c r="E40" s="799" t="inlineStr">
        <is>
          <t>Y</t>
        </is>
      </c>
      <c r="F40" s="804" t="n"/>
      <c r="G40" s="804" t="n"/>
    </row>
    <row r="41" ht="16" customHeight="1" s="254">
      <c r="A41" s="888" t="inlineStr">
        <is>
          <t>Dump Truck</t>
        </is>
      </c>
      <c r="B41" s="799" t="n">
        <v>1</v>
      </c>
      <c r="C41" s="889" t="n">
        <v>520</v>
      </c>
      <c r="D41" s="799" t="n">
        <v>4</v>
      </c>
      <c r="E41" s="799" t="inlineStr">
        <is>
          <t>Y</t>
        </is>
      </c>
      <c r="F41" s="804" t="n"/>
      <c r="G41" s="804" t="n"/>
    </row>
    <row r="42" ht="16" customHeight="1" s="254">
      <c r="A42" s="888" t="inlineStr">
        <is>
          <t>Forklift</t>
        </is>
      </c>
      <c r="B42" s="799" t="n"/>
      <c r="C42" s="889" t="n">
        <v>563</v>
      </c>
      <c r="D42" s="799" t="n"/>
      <c r="E42" s="799" t="inlineStr">
        <is>
          <t>Y</t>
        </is>
      </c>
      <c r="F42" s="804" t="n"/>
      <c r="G42" s="804" t="n"/>
    </row>
    <row r="43" ht="16" customHeight="1" s="254">
      <c r="A43" s="888" t="inlineStr">
        <is>
          <t>Trench Plates</t>
        </is>
      </c>
      <c r="B43" s="799" t="n"/>
      <c r="C43" s="889" t="n">
        <v>5.18</v>
      </c>
      <c r="D43" s="799" t="n"/>
      <c r="E43" s="799" t="inlineStr">
        <is>
          <t>Y</t>
        </is>
      </c>
      <c r="F43" s="804" t="n"/>
      <c r="G43" s="804" t="n"/>
    </row>
    <row r="44" ht="16" customHeight="1" s="254">
      <c r="A44" s="888" t="inlineStr">
        <is>
          <t>Storage container</t>
        </is>
      </c>
      <c r="B44" s="799" t="n"/>
      <c r="C44" s="889" t="n">
        <v>185</v>
      </c>
      <c r="D44" s="799" t="n"/>
      <c r="E44" s="799" t="inlineStr">
        <is>
          <t>Y</t>
        </is>
      </c>
      <c r="F44" s="804" t="n"/>
      <c r="G44" s="804" t="n"/>
    </row>
    <row r="45" ht="16" customHeight="1" s="254">
      <c r="A45" s="888" t="inlineStr">
        <is>
          <t>Portable restroom</t>
        </is>
      </c>
      <c r="B45" s="799" t="n"/>
      <c r="C45" s="889" t="n">
        <v>267</v>
      </c>
      <c r="D45" s="799" t="n"/>
      <c r="E45" s="799" t="inlineStr">
        <is>
          <t>Y</t>
        </is>
      </c>
      <c r="F45" s="804" t="n"/>
      <c r="G45" s="804" t="n"/>
    </row>
    <row r="46" ht="16" customHeight="1" s="254">
      <c r="A46" s="888" t="inlineStr">
        <is>
          <t>Low boi</t>
        </is>
      </c>
      <c r="B46" s="799" t="n"/>
      <c r="C46" s="889" t="n">
        <v>1000</v>
      </c>
      <c r="D46" s="799" t="n"/>
      <c r="E46" s="799" t="inlineStr">
        <is>
          <t>Y</t>
        </is>
      </c>
      <c r="F46" s="804" t="n"/>
      <c r="G46" s="804" t="n"/>
    </row>
    <row r="47" ht="16" customHeight="1" s="254">
      <c r="A47" s="888" t="inlineStr">
        <is>
          <t>Saw cutter</t>
        </is>
      </c>
      <c r="B47" s="799" t="n"/>
      <c r="C47" s="889" t="n">
        <v>169</v>
      </c>
      <c r="D47" s="799" t="n"/>
      <c r="E47" s="799" t="inlineStr">
        <is>
          <t>Y</t>
        </is>
      </c>
      <c r="F47" s="804" t="n"/>
      <c r="G47" s="804" t="n"/>
    </row>
    <row r="48" ht="16" customHeight="1" s="254">
      <c r="A48" s="888" t="inlineStr">
        <is>
          <t>Jack hammer</t>
        </is>
      </c>
      <c r="B48" s="799" t="n"/>
      <c r="C48" s="889" t="n">
        <v>155</v>
      </c>
      <c r="D48" s="799" t="n"/>
      <c r="E48" s="799" t="inlineStr">
        <is>
          <t>Y</t>
        </is>
      </c>
      <c r="F48" s="804" t="n"/>
      <c r="G48" s="804" t="n"/>
    </row>
    <row r="49" ht="16" customHeight="1" s="254">
      <c r="A49" s="888" t="inlineStr">
        <is>
          <t>Compactor</t>
        </is>
      </c>
      <c r="B49" s="799" t="n"/>
      <c r="C49" s="889" t="n">
        <v>175</v>
      </c>
      <c r="D49" s="799" t="n"/>
      <c r="E49" s="799" t="inlineStr">
        <is>
          <t>Y</t>
        </is>
      </c>
      <c r="F49" s="804" t="n"/>
      <c r="G49" s="804" t="n"/>
    </row>
    <row r="50" ht="16" customHeight="1" s="254">
      <c r="A50" s="888" t="inlineStr">
        <is>
          <t>Generator rental</t>
        </is>
      </c>
      <c r="B50" s="799" t="n">
        <v>1</v>
      </c>
      <c r="C50" s="889" t="n">
        <v>220</v>
      </c>
      <c r="D50" s="799" t="n">
        <v>10</v>
      </c>
      <c r="E50" s="799" t="inlineStr">
        <is>
          <t>Y</t>
        </is>
      </c>
      <c r="F50" s="804" t="n"/>
      <c r="G50" s="804" t="n"/>
    </row>
    <row r="51" ht="16" customHeight="1" s="254">
      <c r="A51" s="888" t="inlineStr">
        <is>
          <t>Dump trailer rental</t>
        </is>
      </c>
      <c r="B51" s="799" t="n"/>
      <c r="C51" s="889" t="n">
        <v>796.63</v>
      </c>
      <c r="D51" s="799" t="n"/>
      <c r="E51" s="799" t="inlineStr">
        <is>
          <t>Y</t>
        </is>
      </c>
      <c r="F51" s="804" t="n"/>
      <c r="G51" s="804" t="n"/>
    </row>
    <row r="52" ht="16" customHeight="1" s="254">
      <c r="A52" s="888" t="inlineStr">
        <is>
          <t>Equipment protection</t>
        </is>
      </c>
      <c r="B52" s="799" t="n"/>
      <c r="C52" s="889" t="n">
        <v>45</v>
      </c>
      <c r="D52" s="799" t="n"/>
      <c r="E52" s="799" t="inlineStr">
        <is>
          <t>Y</t>
        </is>
      </c>
      <c r="F52" s="804" t="n"/>
      <c r="G52" s="804" t="n"/>
    </row>
    <row r="53" ht="16" customHeight="1" s="254">
      <c r="A53" s="811" t="n"/>
      <c r="B53" s="804" t="n"/>
      <c r="C53" s="804" t="n"/>
      <c r="D53" s="804" t="n"/>
      <c r="E53" s="804" t="n"/>
      <c r="F53" s="804" t="n"/>
      <c r="G53" s="804" t="n"/>
    </row>
    <row r="54" ht="33.5" customHeight="1" s="254">
      <c r="A54" s="798" t="inlineStr">
        <is>
          <t>Removal and demolition — replacement sites only</t>
        </is>
      </c>
      <c r="B54" s="804" t="n"/>
      <c r="C54" s="804" t="n"/>
      <c r="D54" s="804" t="n"/>
      <c r="E54" s="804" t="n"/>
      <c r="F54" s="804" t="n"/>
      <c r="G54" s="804" t="n"/>
    </row>
    <row r="55" hidden="1" outlineLevel="1" ht="16" customHeight="1" s="254">
      <c r="A55" s="816" t="inlineStr">
        <is>
          <t>Zero on a greenfield site. On a replacement site these quantities come from the Existing tab section H and are priced like any other construction line.</t>
        </is>
      </c>
    </row>
    <row r="56" hidden="1" outlineLevel="1" ht="16" customHeight="1" s="254">
      <c r="A56" s="824" t="inlineStr">
        <is>
          <t>Item</t>
        </is>
      </c>
      <c r="B56" s="824" t="inlineStr">
        <is>
          <t>Quantity</t>
        </is>
      </c>
      <c r="C56" s="824" t="inlineStr">
        <is>
          <t>Source</t>
        </is>
      </c>
      <c r="D56" s="824" t="n"/>
      <c r="E56" s="824" t="n"/>
      <c r="F56" s="824" t="n"/>
      <c r="G56" s="824" t="n"/>
    </row>
    <row r="57" hidden="1" outlineLevel="1" ht="31" customHeight="1" s="254">
      <c r="A57" s="825" t="inlineStr">
        <is>
          <t>Cabinets to disconnect and remove (ea)</t>
        </is>
      </c>
      <c r="B57" s="849">
        <f>IF(Existing!$B$5="Greenfield — new service",0,Existing!$B$174)</f>
        <v/>
      </c>
      <c r="C57" s="825" t="inlineStr">
        <is>
          <t>The Existing tab section H</t>
        </is>
      </c>
      <c r="D57" s="804" t="n"/>
      <c r="E57" s="804" t="n"/>
      <c r="F57" s="804" t="n"/>
      <c r="G57" s="804" t="n"/>
    </row>
    <row r="58" hidden="1" outlineLevel="1" ht="16" customHeight="1" s="254">
      <c r="A58" s="825" t="inlineStr">
        <is>
          <t>Concrete pads to break out (ea)</t>
        </is>
      </c>
      <c r="B58" s="849">
        <f>IF(Existing!$B$5="Greenfield — new service",0,Existing!$B$175)</f>
        <v/>
      </c>
      <c r="C58" s="825" t="inlineStr">
        <is>
          <t>The Existing tab section H</t>
        </is>
      </c>
      <c r="D58" s="804" t="n"/>
      <c r="E58" s="804" t="n"/>
      <c r="F58" s="804" t="n"/>
      <c r="G58" s="804" t="n"/>
    </row>
    <row r="59" hidden="1" outlineLevel="1" ht="16" customHeight="1" s="254">
      <c r="A59" s="825" t="inlineStr">
        <is>
          <t>Bollards to remove (ea)</t>
        </is>
      </c>
      <c r="B59" s="849">
        <f>IF(Existing!$B$5="Greenfield — new service",0,Existing!$B$176)</f>
        <v/>
      </c>
      <c r="C59" s="825" t="inlineStr">
        <is>
          <t>The Existing tab section H</t>
        </is>
      </c>
      <c r="D59" s="804" t="n"/>
      <c r="E59" s="804" t="n"/>
      <c r="F59" s="804" t="n"/>
      <c r="G59" s="804" t="n"/>
    </row>
    <row r="60" hidden="1" outlineLevel="1" ht="16" customHeight="1" s="254">
      <c r="A60" s="825" t="inlineStr">
        <is>
          <t>Signage to remove (ea)</t>
        </is>
      </c>
      <c r="B60" s="849">
        <f>IF(Existing!$B$5="Greenfield — new service",0,Existing!$B$177)</f>
        <v/>
      </c>
      <c r="C60" s="825" t="inlineStr">
        <is>
          <t>The Existing tab section H</t>
        </is>
      </c>
      <c r="D60" s="804" t="n"/>
      <c r="E60" s="804" t="n"/>
      <c r="F60" s="804" t="n"/>
      <c r="G60" s="804" t="n"/>
    </row>
    <row r="61" hidden="1" outlineLevel="1" ht="16" customHeight="1" s="254">
      <c r="A61" s="825" t="inlineStr">
        <is>
          <t>Disposal loads (ea)</t>
        </is>
      </c>
      <c r="B61" s="849">
        <f>IF(Existing!$B$5="Greenfield — new service",0,Existing!$B$178)</f>
        <v/>
      </c>
      <c r="C61" s="825" t="inlineStr">
        <is>
          <t>The Existing tab section H</t>
        </is>
      </c>
      <c r="D61" s="804" t="n"/>
      <c r="E61" s="804" t="n"/>
      <c r="F61" s="804" t="n"/>
      <c r="G61" s="804" t="n"/>
    </row>
    <row r="62" hidden="1" outlineLevel="1" ht="31" customHeight="1" s="254">
      <c r="A62" s="825" t="inlineStr">
        <is>
          <t>Site protection and traffic control (days)</t>
        </is>
      </c>
      <c r="B62" s="849">
        <f>IF(Existing!$B$5="Greenfield — new service",0,Existing!$B$182)</f>
        <v/>
      </c>
      <c r="C62" s="825" t="inlineStr">
        <is>
          <t>The Existing tab section H</t>
        </is>
      </c>
      <c r="D62" s="804" t="n"/>
      <c r="E62" s="804" t="n"/>
      <c r="F62" s="804" t="n"/>
      <c r="G62" s="804" t="n"/>
    </row>
    <row r="63" hidden="1" outlineLevel="1" ht="16" customHeight="1" s="254">
      <c r="A63" s="811" t="n"/>
      <c r="B63" s="804" t="n"/>
      <c r="C63" s="804" t="n"/>
      <c r="D63" s="804" t="n"/>
      <c r="E63" s="804" t="n"/>
      <c r="F63" s="804" t="n"/>
      <c r="G63" s="804" t="n"/>
    </row>
    <row r="64" hidden="1" outlineLevel="1" ht="43.5" customHeight="1" s="254">
      <c r="A64" s="794" t="inlineStr">
        <is>
          <t>Removal crew days — INSIDE the crew days above</t>
        </is>
      </c>
      <c r="B64" s="822">
        <f>IF(Existing!$B$5="Greenfield — new service",0,ROUND(N(Existing!$B$174)*0.5+N(Existing!$B$175)*0.75,0))</f>
        <v/>
      </c>
      <c r="C64" s="816"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31" customHeight="1" s="254">
      <c r="A65" s="794" t="inlineStr">
        <is>
          <t>Do the crew days leave room for the installation?</t>
        </is>
      </c>
      <c r="B65" s="822">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816" t="inlineStr">
        <is>
          <t>Removal is inside the crew days, so the crew days have to be big enough for the removal AND the installation.</t>
        </is>
      </c>
      <c r="F65" s="804" t="n"/>
      <c r="G65" s="804" t="n"/>
    </row>
    <row r="66" hidden="1" outlineLevel="1" ht="16" customHeight="1" s="254">
      <c r="A66" s="794" t="inlineStr">
        <is>
          <t>Construction scope profile</t>
        </is>
      </c>
      <c r="B66" s="822">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804" t="n"/>
      <c r="E66" s="804" t="n"/>
      <c r="F66" s="804" t="n"/>
      <c r="G66" s="804" t="n"/>
    </row>
    <row r="67" hidden="1" outlineLevel="1" ht="31" customHeight="1" s="254">
      <c r="A67" s="794" t="inlineStr">
        <is>
          <t>Does the site stay live during the works?</t>
        </is>
      </c>
      <c r="B67" s="822">
        <f>IF(Existing!$B$181="Yes","PHASED PROGRAMME REQUIRED — temporary charging is not in the standard scope and must be priced separately",IF(Existing!$B$181="No","OK — the site can go dark during the works","not yet answered"))</f>
        <v/>
      </c>
      <c r="C67" s="299" t="n"/>
      <c r="D67" s="804" t="n"/>
      <c r="E67" s="804" t="n"/>
      <c r="F67" s="804" t="n"/>
      <c r="G67" s="804" t="n"/>
    </row>
    <row r="68" hidden="1" outlineLevel="1" ht="31" customHeight="1" s="254">
      <c r="A68" s="794" t="inlineStr">
        <is>
          <t>Removal scope on a greenfield project?</t>
        </is>
      </c>
      <c r="B68" s="892">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804" t="n"/>
      <c r="G68" s="804" t="n"/>
    </row>
    <row r="69" hidden="1" outlineLevel="1" ht="31" customHeight="1" s="254">
      <c r="A69" s="823"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6" customHeight="1" s="254">
      <c r="A70" s="811" t="n"/>
      <c r="B70" s="804" t="n"/>
      <c r="C70" s="804" t="n"/>
      <c r="D70" s="804" t="n"/>
      <c r="E70" s="804" t="n"/>
      <c r="F70" s="804" t="n"/>
      <c r="G70" s="804" t="n"/>
    </row>
    <row r="71" ht="19.75" customHeight="1" s="254">
      <c r="A71" s="798" t="inlineStr">
        <is>
          <t>MARKUPS — WHAT TURNS COST INTO PRICE</t>
        </is>
      </c>
    </row>
    <row r="72" ht="43.5" customHeight="1" s="254">
      <c r="A72" s="781" t="inlineStr">
        <is>
          <t>Markup on materials</t>
        </is>
      </c>
      <c r="B72" s="893" t="n">
        <v>0.2</v>
      </c>
      <c r="C72" s="792" t="inlineStr">
        <is>
          <t>Applies to switchgear, conductor, conduit, site works and construction rentals — everything priced from a rate rather than from a crew day. Set at 20%, matching the house markup on labour cost.</t>
        </is>
      </c>
    </row>
    <row r="73" ht="31" customHeight="1" s="254">
      <c r="A73" s="781" t="inlineStr">
        <is>
          <t>Markup on labour</t>
        </is>
      </c>
      <c r="B73" s="894">
        <f>$B$8</f>
        <v/>
      </c>
      <c r="C73" s="792" t="inlineStr">
        <is>
          <t>Shown here for comparison only — the labour markup is still entered in the Labour block at the top of this tab. One input, one place.</t>
        </is>
      </c>
    </row>
    <row r="74" ht="16" customHeight="1" s="254">
      <c r="A74" s="811" t="n"/>
      <c r="B74" s="804" t="n"/>
      <c r="C74" s="804" t="n"/>
      <c r="D74" s="804" t="n"/>
      <c r="E74" s="804" t="n"/>
      <c r="F74" s="804" t="n"/>
      <c r="G74" s="804" t="n"/>
    </row>
    <row r="75" ht="43.5" customHeight="1" s="254">
      <c r="A75" s="792"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6" customHeight="1" s="254">
      <c r="A76" s="811" t="n"/>
      <c r="B76" s="804" t="n"/>
      <c r="C76" s="804" t="n"/>
      <c r="D76" s="804" t="n"/>
      <c r="E76" s="804" t="n"/>
      <c r="F76" s="804" t="n"/>
      <c r="G76" s="804" t="n"/>
    </row>
    <row r="77" ht="33.5" customHeight="1" s="254">
      <c r="A77" s="798" t="inlineStr">
        <is>
          <t>UTILITY AND THIRD-PARTY FEES — PASS-THROUGH</t>
        </is>
      </c>
      <c r="B77" s="804" t="n"/>
      <c r="C77" s="804" t="n"/>
      <c r="D77" s="804" t="n"/>
      <c r="E77" s="804" t="n"/>
      <c r="F77" s="804" t="n"/>
      <c r="G77" s="804" t="n"/>
    </row>
    <row r="78" ht="43.5" customHeight="1" s="254">
      <c r="A78" s="792"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6" customHeight="1" s="254">
      <c r="A79" s="811" t="n"/>
      <c r="B79" s="804" t="n"/>
      <c r="C79" s="804" t="n"/>
      <c r="D79" s="804" t="n"/>
      <c r="E79" s="804" t="n"/>
      <c r="F79" s="804" t="n"/>
      <c r="G79" s="804" t="n"/>
    </row>
    <row r="80" ht="16" customHeight="1" s="254">
      <c r="A80" s="801" t="inlineStr">
        <is>
          <t>Fee</t>
        </is>
      </c>
      <c r="B80" s="801" t="inlineStr">
        <is>
          <t>Quantity</t>
        </is>
      </c>
      <c r="C80" s="801" t="inlineStr">
        <is>
          <t>Basis</t>
        </is>
      </c>
      <c r="D80" s="801" t="inlineStr">
        <is>
          <t>Unit cost</t>
        </is>
      </c>
      <c r="E80" s="801" t="inlineStr">
        <is>
          <t>Include?</t>
        </is>
      </c>
      <c r="F80" s="804" t="n"/>
      <c r="G80" s="804" t="n"/>
    </row>
    <row r="81" ht="16" customHeight="1" s="254">
      <c r="A81" s="888" t="inlineStr">
        <is>
          <t>Permit and plan-check fees</t>
        </is>
      </c>
      <c r="B81" s="818" t="n">
        <v>1</v>
      </c>
      <c r="C81" s="792" t="inlineStr">
        <is>
          <t>AHJ — verify locally</t>
        </is>
      </c>
      <c r="D81" s="889" t="n">
        <v>4000</v>
      </c>
      <c r="E81" s="799" t="inlineStr">
        <is>
          <t>Y</t>
        </is>
      </c>
      <c r="F81" s="804" t="n"/>
      <c r="G81" s="804" t="n"/>
    </row>
    <row r="82" ht="16" customHeight="1" s="254">
      <c r="A82" s="888" t="inlineStr">
        <is>
          <t>Utility contract fees</t>
        </is>
      </c>
      <c r="B82" s="818" t="n">
        <v>1</v>
      </c>
      <c r="C82" s="792" t="inlineStr">
        <is>
          <t>Application and contract</t>
        </is>
      </c>
      <c r="D82" s="889" t="n">
        <v>3500</v>
      </c>
      <c r="E82" s="799" t="inlineStr">
        <is>
          <t>Y</t>
        </is>
      </c>
      <c r="F82" s="804" t="n"/>
      <c r="G82" s="804" t="n"/>
    </row>
    <row r="83" ht="31" customHeight="1" s="254">
      <c r="A83" s="888" t="inlineStr">
        <is>
          <t>Utility interconnection design and application fee</t>
        </is>
      </c>
      <c r="B83" s="818" t="n">
        <v>1</v>
      </c>
      <c r="C83" s="814" t="inlineStr">
        <is>
          <t>Entered on the Electrical tab — this row reads it. Pass-through at cost.</t>
        </is>
      </c>
      <c r="D83" s="895">
        <f>Electrical!$B$191</f>
        <v/>
      </c>
      <c r="E83" s="799" t="inlineStr">
        <is>
          <t>Y</t>
        </is>
      </c>
      <c r="F83" s="804" t="n"/>
      <c r="G83" s="804" t="n"/>
    </row>
    <row r="84" ht="43.5" customHeight="1" s="254">
      <c r="A84" s="888" t="inlineStr">
        <is>
          <t>Utility line-extension contribution, if any</t>
        </is>
      </c>
      <c r="B84" s="818" t="n">
        <v>0</v>
      </c>
      <c r="C84" s="814" t="inlineStr">
        <is>
          <t>Whatever the serving utility charges the customer toward extending distribution or service. Zero until they say otherwise.</t>
        </is>
      </c>
      <c r="D84" s="895">
        <f>Electrical!$B$194</f>
        <v/>
      </c>
      <c r="E84" s="799" t="inlineStr">
        <is>
          <t>Y</t>
        </is>
      </c>
      <c r="F84" s="804" t="n"/>
      <c r="G84" s="804" t="n"/>
    </row>
    <row r="85" ht="16" customHeight="1" s="254">
      <c r="A85" s="888" t="inlineStr">
        <is>
          <t>Fire department plan review</t>
        </is>
      </c>
      <c r="B85" s="818" t="n">
        <v>1</v>
      </c>
      <c r="C85" s="792" t="inlineStr">
        <is>
          <t>Fire district — common on DCFC sites</t>
        </is>
      </c>
      <c r="D85" s="889" t="n">
        <v>850</v>
      </c>
      <c r="E85" s="799" t="inlineStr">
        <is>
          <t>Y</t>
        </is>
      </c>
      <c r="F85" s="804" t="n"/>
      <c r="G85" s="804" t="n"/>
    </row>
    <row r="86" ht="31" customHeight="1" s="254">
      <c r="A86" s="888" t="inlineStr">
        <is>
          <t>Encroachment / street-opening permit</t>
        </is>
      </c>
      <c r="B86" s="818" t="n">
        <v>0</v>
      </c>
      <c r="C86" s="792" t="inlineStr">
        <is>
          <t>Municipal, when trenching leaves the property</t>
        </is>
      </c>
      <c r="D86" s="889" t="n">
        <v>0</v>
      </c>
      <c r="E86" s="799" t="inlineStr">
        <is>
          <t>Y</t>
        </is>
      </c>
      <c r="F86" s="804" t="n"/>
      <c r="G86" s="804" t="n"/>
    </row>
    <row r="87" ht="16" customHeight="1" s="254">
      <c r="A87" s="888" t="inlineStr">
        <is>
          <t>Electrical inspection fees</t>
        </is>
      </c>
      <c r="B87" s="818" t="n">
        <v>0</v>
      </c>
      <c r="C87" s="792" t="inlineStr">
        <is>
          <t>AHJ inspection, separate from plan check</t>
        </is>
      </c>
      <c r="D87" s="889" t="n">
        <v>0</v>
      </c>
      <c r="E87" s="799" t="inlineStr">
        <is>
          <t>Y</t>
        </is>
      </c>
      <c r="F87" s="804" t="n"/>
      <c r="G87" s="804" t="n"/>
    </row>
    <row r="88" ht="31" customHeight="1" s="254">
      <c r="A88" s="888" t="inlineStr">
        <is>
          <t>Meter and service connection fee</t>
        </is>
      </c>
      <c r="B88" s="818" t="n">
        <v>0</v>
      </c>
      <c r="C88" s="792" t="inlineStr">
        <is>
          <t>Utility, if charged separately from Rule 29</t>
        </is>
      </c>
      <c r="D88" s="889" t="n">
        <v>0</v>
      </c>
      <c r="E88" s="799" t="inlineStr">
        <is>
          <t>Y</t>
        </is>
      </c>
      <c r="F88" s="804" t="n"/>
      <c r="G88" s="804" t="n"/>
    </row>
    <row r="89" ht="31" customHeight="1" s="254">
      <c r="A89" s="896" t="inlineStr">
        <is>
          <t>Utility and third-party fees total</t>
        </is>
      </c>
      <c r="B89" s="851">
        <f>SUMPRODUCT($B$81:$B$88,$D$81:$D$88)</f>
        <v/>
      </c>
      <c r="C89" s="792" t="inlineStr">
        <is>
          <t>Billed to the client at exactly this figure. No markup, no discount, its own line on the bid.</t>
        </is>
      </c>
      <c r="E89" s="804" t="n"/>
      <c r="F89" s="804" t="n"/>
      <c r="G89" s="804" t="n"/>
    </row>
    <row r="90" ht="16" customHeight="1" s="254">
      <c r="A90" s="811" t="n"/>
      <c r="B90" s="804" t="n"/>
      <c r="C90" s="804" t="n"/>
      <c r="D90" s="804" t="n"/>
      <c r="E90" s="804" t="n"/>
      <c r="F90" s="804" t="n"/>
      <c r="G90" s="804" t="n"/>
    </row>
    <row r="91" ht="16" customHeight="1" s="254">
      <c r="A91" s="896" t="inlineStr">
        <is>
          <t>Any fee left in the site-works table?</t>
        </is>
      </c>
      <c r="B91" s="897">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7">
    <mergeCell ref="C8:G8"/>
    <mergeCell ref="C73:G73"/>
    <mergeCell ref="C35:G35"/>
    <mergeCell ref="C65:E65"/>
    <mergeCell ref="A1:F1"/>
    <mergeCell ref="A55:G55"/>
    <mergeCell ref="B67:C67"/>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5 · COMMERCIAL TERMS</t>
        </is>
      </c>
    </row>
    <row r="2" ht="31" customHeight="1" s="254">
      <c r="A2" s="792" t="inlineStr">
        <is>
          <t>Discounts, financing and the service and network term.</t>
        </is>
      </c>
      <c r="B2" s="804" t="n"/>
      <c r="C2" s="804" t="n"/>
      <c r="D2" s="804" t="n"/>
      <c r="E2" s="804" t="n"/>
      <c r="F2" s="804" t="n"/>
    </row>
    <row r="3" ht="16" customHeight="1" s="254">
      <c r="A3" s="811" t="n"/>
      <c r="B3" s="804" t="n"/>
      <c r="C3" s="804" t="n"/>
      <c r="D3" s="804" t="n"/>
      <c r="E3" s="804" t="n"/>
      <c r="F3" s="804" t="n"/>
    </row>
    <row r="4" ht="33.5" customHeight="1" s="254">
      <c r="A4" s="798" t="inlineStr">
        <is>
          <t>Discounts applied to customer price</t>
        </is>
      </c>
      <c r="B4" s="804" t="n"/>
      <c r="C4" s="804" t="n"/>
      <c r="D4" s="804" t="n"/>
      <c r="E4" s="804" t="n"/>
      <c r="F4" s="804" t="n"/>
    </row>
    <row r="5" ht="16" customHeight="1" s="254">
      <c r="A5" s="781" t="inlineStr">
        <is>
          <t>Charger hardware discount</t>
        </is>
      </c>
      <c r="B5" s="893" t="n">
        <v>0.07000000000000001</v>
      </c>
      <c r="C5" s="804" t="n"/>
      <c r="D5" s="804" t="n"/>
      <c r="E5" s="804" t="n"/>
      <c r="F5" s="804" t="n"/>
    </row>
    <row r="6" ht="16" customHeight="1" s="254">
      <c r="A6" s="781" t="inlineStr">
        <is>
          <t>Service and warranty discount</t>
        </is>
      </c>
      <c r="B6" s="893" t="n">
        <v>0.07000000000000001</v>
      </c>
      <c r="C6" s="804" t="n"/>
      <c r="D6" s="804" t="n"/>
      <c r="E6" s="804" t="n"/>
      <c r="F6" s="804" t="n"/>
    </row>
    <row r="7" ht="16" customHeight="1" s="254">
      <c r="A7" s="781" t="inlineStr">
        <is>
          <t>EVOLV and commissioning discount</t>
        </is>
      </c>
      <c r="B7" s="893" t="n">
        <v>0</v>
      </c>
      <c r="C7" s="804" t="n"/>
      <c r="D7" s="804" t="n"/>
      <c r="E7" s="804" t="n"/>
      <c r="F7" s="804" t="n"/>
    </row>
    <row r="8" ht="43.5" customHeight="1" s="254">
      <c r="A8" s="781" t="inlineStr">
        <is>
          <t>Labour and in-house services discount</t>
        </is>
      </c>
      <c r="B8" s="893" t="n">
        <v>0.07000000000000001</v>
      </c>
      <c r="C8" s="814" t="inlineStr">
        <is>
          <t>Applies ONLY to work ZIE performs: construction labour, construction project management, and design and engineering. It may never be applied to materials, to equipment rentals, or to any third-party or utility fee.</t>
        </is>
      </c>
    </row>
    <row r="9" ht="16" customHeight="1" s="254">
      <c r="A9" s="781" t="inlineStr">
        <is>
          <t>Sales tax rate</t>
        </is>
      </c>
      <c r="B9" s="898" t="n">
        <v>0.0725</v>
      </c>
      <c r="C9" s="792" t="inlineStr">
        <is>
          <t>Applied to the DISCOUNTED equipment price</t>
        </is>
      </c>
      <c r="D9" s="804" t="n"/>
      <c r="E9" s="804" t="n"/>
      <c r="F9" s="804" t="n"/>
    </row>
    <row r="10" ht="16" customHeight="1" s="254">
      <c r="A10" s="811" t="n"/>
      <c r="B10" s="804" t="n"/>
      <c r="C10" s="804" t="n"/>
      <c r="D10" s="804" t="n"/>
      <c r="E10" s="804" t="n"/>
      <c r="F10" s="804" t="n"/>
    </row>
    <row r="11" ht="19.75" customHeight="1" s="254">
      <c r="A11" s="798" t="inlineStr">
        <is>
          <t>Service, warranty and network</t>
        </is>
      </c>
      <c r="B11" s="804" t="n"/>
      <c r="C11" s="804" t="n"/>
      <c r="D11" s="804" t="n"/>
      <c r="E11" s="804" t="n"/>
      <c r="F11" s="804" t="n"/>
    </row>
    <row r="12" ht="16" customHeight="1" s="254">
      <c r="A12" s="781" t="inlineStr">
        <is>
          <t>Contract length (years)</t>
        </is>
      </c>
      <c r="B12" s="817" t="n">
        <v>5</v>
      </c>
      <c r="C12" s="792" t="inlineStr">
        <is>
          <t>Years of service included in the price</t>
        </is>
      </c>
      <c r="D12" s="804" t="n"/>
      <c r="E12" s="804" t="n"/>
      <c r="F12" s="804" t="n"/>
    </row>
    <row r="13" ht="16" customHeight="1" s="254">
      <c r="A13" s="781" t="inlineStr">
        <is>
          <t>In-warranty years</t>
        </is>
      </c>
      <c r="B13" s="819" t="n">
        <v>2</v>
      </c>
      <c r="C13" s="792" t="inlineStr">
        <is>
          <t>Years billed at the in-warranty rate</t>
        </is>
      </c>
      <c r="D13" s="804" t="n"/>
      <c r="E13" s="804" t="n"/>
      <c r="F13" s="804" t="n"/>
    </row>
    <row r="14" ht="16" customHeight="1" s="254">
      <c r="A14" s="781" t="inlineStr">
        <is>
          <t>EVOLV network fee per port per month</t>
        </is>
      </c>
      <c r="B14" s="833" t="n">
        <v>39.99</v>
      </c>
      <c r="C14" s="804" t="n"/>
      <c r="D14" s="804" t="n"/>
      <c r="E14" s="804" t="n"/>
      <c r="F14" s="804" t="n"/>
    </row>
    <row r="15" ht="16" customHeight="1" s="254">
      <c r="A15" s="781" t="inlineStr">
        <is>
          <t>EVOLV annual cost</t>
        </is>
      </c>
      <c r="B15" s="851">
        <f>Equipment!B22*B14*12</f>
        <v/>
      </c>
      <c r="C15" s="792" t="inlineStr">
        <is>
          <t>Ports x rate x 12 — ports, never cabinets</t>
        </is>
      </c>
      <c r="D15" s="804" t="n"/>
      <c r="E15" s="804" t="n"/>
      <c r="F15" s="804" t="n"/>
    </row>
    <row r="16" ht="16" customHeight="1" s="254">
      <c r="A16" s="781" t="inlineStr">
        <is>
          <t>EVOLV cost across contract</t>
        </is>
      </c>
      <c r="B16" s="897">
        <f>B15*B12</f>
        <v/>
      </c>
      <c r="C16" s="804" t="n"/>
      <c r="D16" s="804" t="n"/>
      <c r="E16" s="804" t="n"/>
      <c r="F16" s="804" t="n"/>
    </row>
    <row r="17" ht="93.5" customHeight="1" s="254">
      <c r="A17" s="781" t="inlineStr">
        <is>
          <t>Renew service after the contract?</t>
        </is>
      </c>
      <c r="B17" s="899" t="inlineStr">
        <is>
          <t>Yes</t>
        </is>
      </c>
      <c r="C17" s="81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804" t="n"/>
      <c r="E17" s="804" t="n"/>
      <c r="F17" s="804" t="n"/>
    </row>
    <row r="18" ht="19.75" customHeight="1" s="254">
      <c r="A18" s="798" t="inlineStr">
        <is>
          <t>Financing</t>
        </is>
      </c>
      <c r="B18" s="804" t="n"/>
      <c r="C18" s="804" t="n"/>
      <c r="D18" s="804" t="n"/>
      <c r="E18" s="804" t="n"/>
      <c r="F18" s="804" t="n"/>
    </row>
    <row r="19" ht="16" customHeight="1" s="254">
      <c r="A19" s="781" t="inlineStr">
        <is>
          <t>Financing offered?</t>
        </is>
      </c>
      <c r="B19" s="799" t="inlineStr">
        <is>
          <t>Yes</t>
        </is>
      </c>
      <c r="C19" s="804" t="n"/>
      <c r="D19" s="804" t="n"/>
      <c r="E19" s="804" t="n"/>
      <c r="F19" s="804" t="n"/>
    </row>
    <row r="20" ht="16" customHeight="1" s="254">
      <c r="A20" s="781" t="inlineStr">
        <is>
          <t>Lender</t>
        </is>
      </c>
      <c r="B20" s="799" t="inlineStr">
        <is>
          <t>De Lage Landen</t>
        </is>
      </c>
      <c r="C20" s="804" t="n"/>
      <c r="D20" s="804" t="n"/>
      <c r="E20" s="804" t="n"/>
      <c r="F20" s="804" t="n"/>
    </row>
    <row r="21" ht="16" customHeight="1" s="254">
      <c r="A21" s="781" t="inlineStr">
        <is>
          <t>Annual interest rate</t>
        </is>
      </c>
      <c r="B21" s="898" t="n">
        <v>0.0839</v>
      </c>
      <c r="C21" s="804" t="n"/>
      <c r="D21" s="804" t="n"/>
      <c r="E21" s="804" t="n"/>
      <c r="F21" s="804" t="n"/>
    </row>
    <row r="22" ht="16" customHeight="1" s="254">
      <c r="A22" s="781" t="inlineStr">
        <is>
          <t>Term (years)</t>
        </is>
      </c>
      <c r="B22" s="817" t="n">
        <v>5</v>
      </c>
      <c r="C22" s="804" t="n"/>
      <c r="D22" s="804" t="n"/>
      <c r="E22" s="804" t="n"/>
      <c r="F22" s="804" t="n"/>
    </row>
    <row r="23" ht="16" customHeight="1" s="254">
      <c r="A23" s="781" t="inlineStr">
        <is>
          <t>Payments per year</t>
        </is>
      </c>
      <c r="B23" s="819" t="n">
        <v>12</v>
      </c>
      <c r="C23" s="804" t="n"/>
      <c r="D23" s="804" t="n"/>
      <c r="E23" s="804" t="n"/>
      <c r="F23" s="804" t="n"/>
    </row>
    <row r="24" ht="16" customHeight="1" s="254">
      <c r="A24" s="781" t="inlineStr">
        <is>
          <t>Down payment</t>
        </is>
      </c>
      <c r="B24" s="900" t="n">
        <v>0</v>
      </c>
      <c r="C24" s="804" t="n"/>
      <c r="D24" s="804" t="n"/>
      <c r="E24" s="804" t="n"/>
      <c r="F24" s="804" t="n"/>
    </row>
    <row r="25" ht="16" customHeight="1" s="254">
      <c r="A25" s="781" t="inlineStr">
        <is>
          <t>Financing start date</t>
        </is>
      </c>
      <c r="B25" s="947" t="n">
        <v>46296</v>
      </c>
      <c r="C25" s="804" t="n"/>
      <c r="D25" s="804" t="n"/>
      <c r="E25" s="804" t="n"/>
      <c r="F25" s="804" t="n"/>
    </row>
    <row r="26" ht="16" customHeight="1" s="254">
      <c r="A26" s="811" t="n"/>
      <c r="B26" s="804" t="n"/>
      <c r="C26" s="804" t="n"/>
      <c r="D26" s="804" t="n"/>
      <c r="E26" s="804" t="n"/>
      <c r="F26" s="804" t="n"/>
    </row>
    <row r="27" ht="19.75" customHeight="1" s="254">
      <c r="A27" s="798" t="inlineStr">
        <is>
          <t>Analysis horizon</t>
        </is>
      </c>
      <c r="B27" s="804" t="n"/>
      <c r="C27" s="804" t="n"/>
      <c r="D27" s="804" t="n"/>
      <c r="E27" s="804" t="n"/>
      <c r="F27" s="804" t="n"/>
    </row>
    <row r="28" ht="16" customHeight="1" s="254">
      <c r="A28" s="781" t="inlineStr">
        <is>
          <t>Model horizon (years)</t>
        </is>
      </c>
      <c r="B28" s="817" t="n">
        <v>10</v>
      </c>
      <c r="C28" s="792" t="inlineStr">
        <is>
          <t>Use 10 — the carbon credit runs ten years</t>
        </is>
      </c>
      <c r="D28" s="804" t="n"/>
      <c r="E28" s="804" t="n"/>
      <c r="F28" s="804" t="n"/>
    </row>
    <row r="29" ht="16" customHeight="1" s="254">
      <c r="A29" s="781" t="inlineStr">
        <is>
          <t>Discount rate for NPV</t>
        </is>
      </c>
      <c r="B29" s="898" t="n">
        <v>0.0839</v>
      </c>
      <c r="C29" s="792" t="inlineStr">
        <is>
          <t>Default: the financing rate</t>
        </is>
      </c>
      <c r="D29" s="804" t="n"/>
      <c r="E29" s="804" t="n"/>
      <c r="F29" s="804"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zoomScale="100" workbookViewId="0">
      <pane ySplit="4" topLeftCell="A5" activePane="bottomLeft" state="frozen"/>
      <selection pane="bottomLeft" activeCell="A1" sqref="A1"/>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26" customHeight="1" s="254">
      <c r="A1" s="805" t="inlineStr">
        <is>
          <t>5B · PRICE BUILD-UP — what the Commercial tab's discounts do to every line (auto)</t>
        </is>
      </c>
      <c r="G1" s="804" t="n"/>
      <c r="H1" s="804" t="n"/>
    </row>
    <row r="2" ht="43.5" customHeight="1" s="254">
      <c r="A2" s="792"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804" t="n"/>
      <c r="H2" s="804" t="n"/>
    </row>
    <row r="3" ht="16" customHeight="1" s="254">
      <c r="A3" s="811" t="n"/>
      <c r="B3" s="804" t="n"/>
      <c r="C3" s="804" t="n"/>
      <c r="D3" s="804" t="n"/>
      <c r="E3" s="804" t="n"/>
      <c r="F3" s="804" t="n"/>
      <c r="G3" s="804" t="n"/>
      <c r="H3" s="804" t="n"/>
    </row>
    <row r="4" ht="31" customHeight="1" s="254">
      <c r="A4" s="806" t="inlineStr">
        <is>
          <t>Line</t>
        </is>
      </c>
      <c r="B4" s="806" t="inlineStr">
        <is>
          <t>List ($)</t>
        </is>
      </c>
      <c r="C4" s="806" t="inlineStr">
        <is>
          <t>Discount</t>
        </is>
      </c>
      <c r="D4" s="806" t="inlineStr">
        <is>
          <t>Discount ($)</t>
        </is>
      </c>
      <c r="E4" s="806" t="inlineStr">
        <is>
          <t>Customer price ($)</t>
        </is>
      </c>
      <c r="F4" s="806" t="inlineStr">
        <is>
          <t>Basis</t>
        </is>
      </c>
      <c r="G4" s="804" t="n"/>
      <c r="H4" s="804" t="n"/>
    </row>
    <row r="5" ht="31" customHeight="1" s="254">
      <c r="A5" s="876" t="inlineStr">
        <is>
          <t>Charger hardware</t>
        </is>
      </c>
      <c r="B5" s="885">
        <f>Equipment!$B$24</f>
        <v/>
      </c>
      <c r="C5" s="901">
        <f>Commercial!$B$5</f>
        <v/>
      </c>
      <c r="D5" s="867">
        <f>$B5-$E5</f>
        <v/>
      </c>
      <c r="E5" s="885">
        <f>Equipment!$B$25</f>
        <v/>
      </c>
      <c r="F5" s="902" t="inlineStr">
        <is>
          <t>Equipment schedule at price-book list; the discount is the Commercial tab's.</t>
        </is>
      </c>
      <c r="G5" s="804" t="n"/>
      <c r="H5" s="804" t="n"/>
    </row>
    <row r="6" ht="31" customHeight="1" s="254">
      <c r="A6" s="876" t="inlineStr">
        <is>
          <t>Sales tax on equipment</t>
        </is>
      </c>
      <c r="B6" s="885">
        <f>Equipment!$B$25*Commercial!$B$9</f>
        <v/>
      </c>
      <c r="C6" s="903" t="n">
        <v>0</v>
      </c>
      <c r="D6" s="867">
        <f>$B6-$E6</f>
        <v/>
      </c>
      <c r="E6" s="885">
        <f>$B6*(1-$C6)</f>
        <v/>
      </c>
      <c r="F6" s="902" t="inlineStr">
        <is>
          <t>On the discounted equipment, not on list. Collected and remitted; no margin.</t>
        </is>
      </c>
      <c r="G6" s="804" t="n"/>
      <c r="H6" s="804" t="n"/>
    </row>
    <row r="7" ht="31" customHeight="1" s="254">
      <c r="A7" s="876" t="inlineStr">
        <is>
          <t>Service and extended warranty</t>
        </is>
      </c>
      <c r="B7" s="885">
        <f>$B$40</f>
        <v/>
      </c>
      <c r="C7" s="901">
        <f>Commercial!$B$6</f>
        <v/>
      </c>
      <c r="D7" s="867">
        <f>$B7-$E7</f>
        <v/>
      </c>
      <c r="E7" s="885">
        <f>$B7*(1-$C7)</f>
        <v/>
      </c>
      <c r="F7" s="902" t="inlineStr">
        <is>
          <t>From the detail block below: price-book class rates x units x contract years.</t>
        </is>
      </c>
      <c r="G7" s="804" t="n"/>
      <c r="H7" s="804" t="n"/>
    </row>
    <row r="8" ht="31" customHeight="1" s="254">
      <c r="A8" s="876" t="inlineStr">
        <is>
          <t>EVOLV network and commissioning</t>
        </is>
      </c>
      <c r="B8" s="885">
        <f>Equipment!$B$22*Commercial!$B$14*12*Commercial!$B$12</f>
        <v/>
      </c>
      <c r="C8" s="901">
        <f>Commercial!$B$7</f>
        <v/>
      </c>
      <c r="D8" s="867">
        <f>$B8-$E8</f>
        <v/>
      </c>
      <c r="E8" s="885">
        <f>$B8*(1-$C8)</f>
        <v/>
      </c>
      <c r="F8" s="902" t="inlineStr">
        <is>
          <t>Ports x fee per port per month x 12 x contract years.</t>
        </is>
      </c>
      <c r="G8" s="804" t="n"/>
      <c r="H8" s="804" t="n"/>
    </row>
    <row r="9" ht="43.5" customHeight="1" s="254">
      <c r="A9" s="876" t="inlineStr">
        <is>
          <t>Main switchgear and distribution</t>
        </is>
      </c>
      <c r="B9" s="885">
        <f>Electrical!$B$178*(1+Construction!$B$72)</f>
        <v/>
      </c>
      <c r="C9" s="903" t="n">
        <v>0</v>
      </c>
      <c r="D9" s="867">
        <f>$B9-$E9</f>
        <v/>
      </c>
      <c r="E9" s="885">
        <f>$B9*(1-$C9)</f>
        <v/>
      </c>
      <c r="F9" s="902" t="inlineStr">
        <is>
          <t>The distribution schedule on the Electrical tab, plus the materials markup. Not discounted.</t>
        </is>
      </c>
      <c r="G9" s="804" t="n"/>
      <c r="H9" s="804" t="n"/>
    </row>
    <row r="10" ht="68.5" customHeight="1" s="254">
      <c r="A10" s="876" t="inlineStr">
        <is>
          <t>Wire, conduit and peripherals</t>
        </is>
      </c>
      <c r="B10" s="885">
        <f>(Electrical!$B$86+Electrical!$B$128)*(1+Construction!$B$72)</f>
        <v/>
      </c>
      <c r="C10" s="903" t="n">
        <v>0</v>
      </c>
      <c r="D10" s="867">
        <f>$B10-$E10</f>
        <v/>
      </c>
      <c r="E10" s="885">
        <f>$B10*(1-$C10)</f>
        <v/>
      </c>
      <c r="F10" s="902" t="inlineStr">
        <is>
          <t>Charger runs and dispenser runs at RefData rates, plus the materials markup. Not discounted. A service feeder Zero Impact Energy provides is priced by the model and is not in this figure.</t>
        </is>
      </c>
      <c r="G10" s="804" t="n"/>
      <c r="H10" s="804" t="n"/>
    </row>
    <row r="11" ht="43.5" customHeight="1" s="254">
      <c r="A11" s="876" t="inlineStr">
        <is>
          <t>Site works</t>
        </is>
      </c>
      <c r="B11" s="885">
        <f>SUMPRODUCT(--(Construction!$E$14:$E$27="Y"),Construction!$B$14:$B$27,Construction!$D$14:$D$27)*(1+Construction!$B$72)</f>
        <v/>
      </c>
      <c r="C11" s="903" t="n">
        <v>0</v>
      </c>
      <c r="D11" s="867">
        <f>$B11-$E11</f>
        <v/>
      </c>
      <c r="E11" s="885">
        <f>$B11*(1-$C11)</f>
        <v/>
      </c>
      <c r="F11" s="902" t="inlineStr">
        <is>
          <t>Included site-works items, quantity x unit cost, plus the materials markup. Not discounted.</t>
        </is>
      </c>
      <c r="G11" s="804" t="n"/>
      <c r="H11" s="804" t="n"/>
    </row>
    <row r="12" ht="43.5" customHeight="1" s="254">
      <c r="A12" s="876" t="inlineStr">
        <is>
          <t>Construction equipment rentals</t>
        </is>
      </c>
      <c r="B12" s="885">
        <f>IF(N(Overrides!$B$15)&gt;0,N(Overrides!$B$15),SUMPRODUCT(--(Construction!$E$39:$E$52="Y"),Construction!$B$39:$B$52,Construction!$C$39:$C$52,Construction!$D$39:$D$52))*(1+Construction!$B$72)</f>
        <v/>
      </c>
      <c r="C12" s="903" t="n">
        <v>0</v>
      </c>
      <c r="D12" s="867">
        <f>$B12-$E12</f>
        <v/>
      </c>
      <c r="E12" s="885">
        <f>$B12*(1-$C12)</f>
        <v/>
      </c>
      <c r="F12" s="902" t="inlineStr">
        <is>
          <t>Included rentals, qty x unit x days, plus the materials markup — or the override register's figure. Not discounted.</t>
        </is>
      </c>
      <c r="G12" s="804" t="n"/>
      <c r="H12" s="804" t="n"/>
    </row>
    <row r="13" ht="43.5" customHeight="1" s="254">
      <c r="A13" s="876" t="inlineStr">
        <is>
          <t>Design and engineering</t>
        </is>
      </c>
      <c r="B13" s="885">
        <f>IF(N(Overrides!$B$16)&gt;0,N(Overrides!$B$16),Construction!$B$35)</f>
        <v/>
      </c>
      <c r="C13" s="901">
        <f>Commercial!$B$8</f>
        <v/>
      </c>
      <c r="D13" s="867">
        <f>$B13-$E13</f>
        <v/>
      </c>
      <c r="E13" s="885">
        <f>$B13*(1-$C13)</f>
        <v/>
      </c>
      <c r="F13" s="902" t="inlineStr">
        <is>
          <t>Drawing sets and PM hours at the intake rates, or the override. In-house, so the labour discount applies.</t>
        </is>
      </c>
      <c r="G13" s="804" t="n"/>
      <c r="H13" s="804" t="n"/>
    </row>
    <row r="14" ht="31" customHeight="1" s="254">
      <c r="A14" s="876" t="inlineStr">
        <is>
          <t>Labour</t>
        </is>
      </c>
      <c r="B14" s="885">
        <f>Construction!$B$9</f>
        <v/>
      </c>
      <c r="C14" s="901">
        <f>Commercial!$B$8</f>
        <v/>
      </c>
      <c r="D14" s="867">
        <f>$B14-$E14</f>
        <v/>
      </c>
      <c r="E14" s="885">
        <f>$B14*(1-$C14)</f>
        <v/>
      </c>
      <c r="F14" s="902" t="inlineStr">
        <is>
          <t>Crew days x rate x contingency x markup. The labour discount applies.</t>
        </is>
      </c>
      <c r="G14" s="804" t="n"/>
      <c r="H14" s="804" t="n"/>
    </row>
    <row r="15" ht="31" customHeight="1" s="254">
      <c r="A15" s="876" t="inlineStr">
        <is>
          <t>Construction project management</t>
        </is>
      </c>
      <c r="B15" s="885">
        <f>$B$14*Construction!$B$10</f>
        <v/>
      </c>
      <c r="C15" s="901">
        <f>Commercial!$B$8</f>
        <v/>
      </c>
      <c r="D15" s="867">
        <f>$B15-$E15</f>
        <v/>
      </c>
      <c r="E15" s="885">
        <f>$B15*(1-$C15)</f>
        <v/>
      </c>
      <c r="F15" s="902" t="inlineStr">
        <is>
          <t>A percentage of labour. The labour discount applies.</t>
        </is>
      </c>
      <c r="G15" s="804" t="n"/>
      <c r="H15" s="804" t="n"/>
    </row>
    <row r="16" ht="31" customHeight="1" s="254">
      <c r="A16" s="876" t="inlineStr">
        <is>
          <t>Utility and third-party fees</t>
        </is>
      </c>
      <c r="B16" s="885">
        <f>Construction!$B$89</f>
        <v/>
      </c>
      <c r="C16" s="903" t="n">
        <v>0</v>
      </c>
      <c r="D16" s="867">
        <f>$B16-$E16</f>
        <v/>
      </c>
      <c r="E16" s="885">
        <f>$B16*(1-$C16)</f>
        <v/>
      </c>
      <c r="F16" s="902" t="inlineStr">
        <is>
          <t>Paid to others, billed at cost. No markup, no discount.</t>
        </is>
      </c>
      <c r="G16" s="804" t="n"/>
      <c r="H16" s="804" t="n"/>
    </row>
    <row r="17" ht="31" customHeight="1" s="254">
      <c r="A17" s="876" t="inlineStr">
        <is>
          <t>Additional or unforeseen scope</t>
        </is>
      </c>
      <c r="B17" s="885">
        <f>N(Overrides!$B$18)</f>
        <v/>
      </c>
      <c r="C17" s="903" t="n">
        <v>0</v>
      </c>
      <c r="D17" s="867">
        <f>$B17-$E17</f>
        <v/>
      </c>
      <c r="E17" s="885">
        <f>$B17*(1-$C17)</f>
        <v/>
      </c>
      <c r="F17" s="902" t="inlineStr">
        <is>
          <t>From the override register; billed at cost.</t>
        </is>
      </c>
      <c r="G17" s="804" t="n"/>
      <c r="H17" s="804" t="n"/>
    </row>
    <row r="18" ht="31" customHeight="1" s="254">
      <c r="A18" s="876" t="inlineStr">
        <is>
          <t>Utility line-extension contribution</t>
        </is>
      </c>
      <c r="B18" s="885">
        <f>N(Overrides!$B$17)</f>
        <v/>
      </c>
      <c r="C18" s="903" t="n">
        <v>0</v>
      </c>
      <c r="D18" s="867">
        <f>$B18-$E18</f>
        <v/>
      </c>
      <c r="E18" s="885">
        <f>$B18*(1-$C18)</f>
        <v/>
      </c>
      <c r="F18" s="902" t="inlineStr">
        <is>
          <t>From the override register; paid to the utility, billed at cost.</t>
        </is>
      </c>
      <c r="G18" s="804" t="n"/>
      <c r="H18" s="804" t="n"/>
    </row>
    <row r="19" ht="16" customHeight="1" s="254">
      <c r="A19" s="811" t="n"/>
      <c r="B19" s="804" t="n"/>
      <c r="C19" s="804" t="n"/>
      <c r="D19" s="804" t="n"/>
      <c r="E19" s="804" t="n"/>
      <c r="F19" s="804" t="n"/>
      <c r="G19" s="804" t="n"/>
      <c r="H19" s="804" t="n"/>
    </row>
    <row r="20" ht="43.5" customHeight="1" s="254">
      <c r="A20" s="904" t="inlineStr">
        <is>
          <t>GRAND TOTAL</t>
        </is>
      </c>
      <c r="B20" s="905">
        <f>SUM($B$5:$B$18)</f>
        <v/>
      </c>
      <c r="C20" s="906" t="n"/>
      <c r="D20" s="905">
        <f>SUM($D$5:$D$18)</f>
        <v/>
      </c>
      <c r="E20" s="905">
        <f>SUM($E$5:$E$18)</f>
        <v/>
      </c>
      <c r="F20" s="907" t="inlineStr">
        <is>
          <t>List less discount equals the customer price. The model's price ties to column E.</t>
        </is>
      </c>
      <c r="G20" s="804" t="n"/>
      <c r="H20" s="804" t="n"/>
    </row>
    <row r="21" ht="16" customHeight="1" s="254">
      <c r="A21" s="781" t="inlineStr">
        <is>
          <t>Overall discount</t>
        </is>
      </c>
      <c r="B21" s="908">
        <f>IF(N($B$20)=0,0,$D$20/$B$20)</f>
        <v/>
      </c>
      <c r="C21" s="814" t="inlineStr">
        <is>
          <t>Discount dollars over list.</t>
        </is>
      </c>
      <c r="G21" s="804" t="n"/>
      <c r="H21" s="804" t="n"/>
    </row>
    <row r="22" ht="31" customHeight="1" s="254">
      <c r="A22" s="781" t="inlineStr">
        <is>
          <t>Already paid — down payment or milestone received</t>
        </is>
      </c>
      <c r="B22" s="870">
        <f>Commercial!$B$24</f>
        <v/>
      </c>
      <c r="C22" s="814" t="inlineStr">
        <is>
          <t>The Commercial tab's Down payment row: cash the client has already put in.</t>
        </is>
      </c>
      <c r="G22" s="804" t="n"/>
      <c r="H22" s="804" t="n"/>
    </row>
    <row r="23" ht="16" customHeight="1" s="254">
      <c r="A23" s="781" t="inlineStr">
        <is>
          <t>Balance to finance</t>
        </is>
      </c>
      <c r="B23" s="870">
        <f>$E$20-N(Commercial!$B$24)</f>
        <v/>
      </c>
      <c r="C23" s="814" t="inlineStr">
        <is>
          <t>Customer price less what is already paid; the loan is on this.</t>
        </is>
      </c>
      <c r="G23" s="804" t="n"/>
      <c r="H23" s="804" t="n"/>
    </row>
    <row r="24" ht="16" customHeight="1" s="254">
      <c r="A24" s="811" t="n"/>
      <c r="B24" s="804" t="n"/>
      <c r="C24" s="804" t="n"/>
      <c r="D24" s="804" t="n"/>
      <c r="E24" s="804" t="n"/>
      <c r="F24" s="804" t="n"/>
      <c r="G24" s="804" t="n"/>
      <c r="H24" s="804" t="n"/>
    </row>
    <row r="25" ht="19.75" customHeight="1" s="254">
      <c r="A25" s="798" t="inlineStr">
        <is>
          <t>Service and warranty — the class rates behind the line above</t>
        </is>
      </c>
    </row>
    <row r="26" ht="56" customHeight="1" s="254">
      <c r="A26" s="814"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804" t="n"/>
      <c r="H26" s="804" t="n"/>
    </row>
    <row r="27" ht="31" customHeight="1" s="254">
      <c r="A27" s="806" t="inlineStr">
        <is>
          <t>Equipment line</t>
        </is>
      </c>
      <c r="B27" s="806" t="inlineStr">
        <is>
          <t>Units</t>
        </is>
      </c>
      <c r="C27" s="806" t="inlineStr">
        <is>
          <t>Yrs in warranty</t>
        </is>
      </c>
      <c r="D27" s="806" t="inlineStr">
        <is>
          <t>Rate, in warranty ($/unit/yr)</t>
        </is>
      </c>
      <c r="E27" s="806" t="inlineStr">
        <is>
          <t>Rate after ($/unit/yr)</t>
        </is>
      </c>
      <c r="F27" s="806" t="inlineStr">
        <is>
          <t>Class matched · cost at list ($)</t>
        </is>
      </c>
      <c r="G27" s="804" t="n"/>
      <c r="H27" s="804" t="n"/>
    </row>
    <row r="28" ht="16" customHeight="1" s="254">
      <c r="A28" s="862">
        <f>IF(Equipment!$C$7="","","Line 1 · "&amp;Equipment!$C$7)</f>
        <v/>
      </c>
      <c r="B28" s="871">
        <f>IF(AND(Equipment!$C$7&lt;&gt;"",OR(OR(Equipment!$E$7="all_in_one",Equipment!$E$7="power_cabinet"),Equipment!$E$7="level_2")),N(Equipment!$I$7),0)</f>
        <v/>
      </c>
      <c r="C28" s="871">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909">
        <f>IF($B28=0,0,IFERROR(N(INDEX(PriceBook!$D$97:$D$110,IFERROR(MATCH(Equipment!$C$7,PriceBook!$A$97:$A$110,0),IF(Equipment!$E$7="level_2",MATCH("AC Charger - "&amp;TEXT(Equipment!$F$7,"0.0")&amp;" kW*"&amp;IF(N(Equipment!$H$7)&gt;=2,"Dual","Single")&amp;"*",PriceBook!$A$97:$A$110,0),MATCH("DC-"&amp;TEXT(Equipment!$F$7,"0")&amp;"kW*",PriceBook!$A$97:$A$110,0))))),0))</f>
        <v/>
      </c>
      <c r="E28" s="909">
        <f>IF($B28=0,0,IFERROR(N(INDEX(PriceBook!$E$97:$E$110,IFERROR(MATCH(Equipment!$C$7,PriceBook!$A$97:$A$110,0),IF(Equipment!$E$7="level_2",MATCH("AC Charger - "&amp;TEXT(Equipment!$F$7,"0.0")&amp;" kW*"&amp;IF(N(Equipment!$H$7)&gt;=2,"Dual","Single")&amp;"*",PriceBook!$A$97:$A$110,0),MATCH("DC-"&amp;TEXT(Equipment!$F$7,"0")&amp;"kW*",PriceBook!$A$97:$A$110,0))))),0))</f>
        <v/>
      </c>
      <c r="F28" s="863">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804" t="n"/>
      <c r="H28" s="804" t="n"/>
    </row>
    <row r="29" ht="16" customHeight="1" s="254">
      <c r="A29" s="862">
        <f>IF(Equipment!$C$8="","","Line 2 · "&amp;Equipment!$C$8)</f>
        <v/>
      </c>
      <c r="B29" s="871">
        <f>IF(AND(Equipment!$C$8&lt;&gt;"",OR(OR(Equipment!$E$8="all_in_one",Equipment!$E$8="power_cabinet"),Equipment!$E$8="level_2")),N(Equipment!$I$8),0)</f>
        <v/>
      </c>
      <c r="C29" s="871">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909">
        <f>IF($B29=0,0,IFERROR(N(INDEX(PriceBook!$D$97:$D$110,IFERROR(MATCH(Equipment!$C$8,PriceBook!$A$97:$A$110,0),IF(Equipment!$E$8="level_2",MATCH("AC Charger - "&amp;TEXT(Equipment!$F$8,"0.0")&amp;" kW*"&amp;IF(N(Equipment!$H$8)&gt;=2,"Dual","Single")&amp;"*",PriceBook!$A$97:$A$110,0),MATCH("DC-"&amp;TEXT(Equipment!$F$8,"0")&amp;"kW*",PriceBook!$A$97:$A$110,0))))),0))</f>
        <v/>
      </c>
      <c r="E29" s="909">
        <f>IF($B29=0,0,IFERROR(N(INDEX(PriceBook!$E$97:$E$110,IFERROR(MATCH(Equipment!$C$8,PriceBook!$A$97:$A$110,0),IF(Equipment!$E$8="level_2",MATCH("AC Charger - "&amp;TEXT(Equipment!$F$8,"0.0")&amp;" kW*"&amp;IF(N(Equipment!$H$8)&gt;=2,"Dual","Single")&amp;"*",PriceBook!$A$97:$A$110,0),MATCH("DC-"&amp;TEXT(Equipment!$F$8,"0")&amp;"kW*",PriceBook!$A$97:$A$110,0))))),0))</f>
        <v/>
      </c>
      <c r="F29" s="863">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804" t="n"/>
      <c r="H29" s="804" t="n"/>
    </row>
    <row r="30" ht="16" customHeight="1" s="254">
      <c r="A30" s="862">
        <f>IF(Equipment!$C$9="","","Line 3 · "&amp;Equipment!$C$9)</f>
        <v/>
      </c>
      <c r="B30" s="871">
        <f>IF(AND(Equipment!$C$9&lt;&gt;"",OR(OR(Equipment!$E$9="all_in_one",Equipment!$E$9="power_cabinet"),Equipment!$E$9="level_2")),N(Equipment!$I$9),0)</f>
        <v/>
      </c>
      <c r="C30" s="871">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909">
        <f>IF($B30=0,0,IFERROR(N(INDEX(PriceBook!$D$97:$D$110,IFERROR(MATCH(Equipment!$C$9,PriceBook!$A$97:$A$110,0),IF(Equipment!$E$9="level_2",MATCH("AC Charger - "&amp;TEXT(Equipment!$F$9,"0.0")&amp;" kW*"&amp;IF(N(Equipment!$H$9)&gt;=2,"Dual","Single")&amp;"*",PriceBook!$A$97:$A$110,0),MATCH("DC-"&amp;TEXT(Equipment!$F$9,"0")&amp;"kW*",PriceBook!$A$97:$A$110,0))))),0))</f>
        <v/>
      </c>
      <c r="E30" s="909">
        <f>IF($B30=0,0,IFERROR(N(INDEX(PriceBook!$E$97:$E$110,IFERROR(MATCH(Equipment!$C$9,PriceBook!$A$97:$A$110,0),IF(Equipment!$E$9="level_2",MATCH("AC Charger - "&amp;TEXT(Equipment!$F$9,"0.0")&amp;" kW*"&amp;IF(N(Equipment!$H$9)&gt;=2,"Dual","Single")&amp;"*",PriceBook!$A$97:$A$110,0),MATCH("DC-"&amp;TEXT(Equipment!$F$9,"0")&amp;"kW*",PriceBook!$A$97:$A$110,0))))),0))</f>
        <v/>
      </c>
      <c r="F30" s="863">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804" t="n"/>
      <c r="H30" s="804" t="n"/>
    </row>
    <row r="31" ht="16" customHeight="1" s="254">
      <c r="A31" s="862">
        <f>IF(Equipment!$C$10="","","Line 4 · "&amp;Equipment!$C$10)</f>
        <v/>
      </c>
      <c r="B31" s="871">
        <f>IF(AND(Equipment!$C$10&lt;&gt;"",OR(OR(Equipment!$E$10="all_in_one",Equipment!$E$10="power_cabinet"),Equipment!$E$10="level_2")),N(Equipment!$I$10),0)</f>
        <v/>
      </c>
      <c r="C31" s="871">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909">
        <f>IF($B31=0,0,IFERROR(N(INDEX(PriceBook!$D$97:$D$110,IFERROR(MATCH(Equipment!$C$10,PriceBook!$A$97:$A$110,0),IF(Equipment!$E$10="level_2",MATCH("AC Charger - "&amp;TEXT(Equipment!$F$10,"0.0")&amp;" kW*"&amp;IF(N(Equipment!$H$10)&gt;=2,"Dual","Single")&amp;"*",PriceBook!$A$97:$A$110,0),MATCH("DC-"&amp;TEXT(Equipment!$F$10,"0")&amp;"kW*",PriceBook!$A$97:$A$110,0))))),0))</f>
        <v/>
      </c>
      <c r="E31" s="909">
        <f>IF($B31=0,0,IFERROR(N(INDEX(PriceBook!$E$97:$E$110,IFERROR(MATCH(Equipment!$C$10,PriceBook!$A$97:$A$110,0),IF(Equipment!$E$10="level_2",MATCH("AC Charger - "&amp;TEXT(Equipment!$F$10,"0.0")&amp;" kW*"&amp;IF(N(Equipment!$H$10)&gt;=2,"Dual","Single")&amp;"*",PriceBook!$A$97:$A$110,0),MATCH("DC-"&amp;TEXT(Equipment!$F$10,"0")&amp;"kW*",PriceBook!$A$97:$A$110,0))))),0))</f>
        <v/>
      </c>
      <c r="F31" s="863">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804" t="n"/>
      <c r="H31" s="804" t="n"/>
    </row>
    <row r="32" ht="16" customHeight="1" s="254">
      <c r="A32" s="862">
        <f>IF(Equipment!$C$11="","","Line 5 · "&amp;Equipment!$C$11)</f>
        <v/>
      </c>
      <c r="B32" s="871">
        <f>IF(AND(Equipment!$C$11&lt;&gt;"",OR(OR(Equipment!$E$11="all_in_one",Equipment!$E$11="power_cabinet"),Equipment!$E$11="level_2")),N(Equipment!$I$11),0)</f>
        <v/>
      </c>
      <c r="C32" s="871">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909">
        <f>IF($B32=0,0,IFERROR(N(INDEX(PriceBook!$D$97:$D$110,IFERROR(MATCH(Equipment!$C$11,PriceBook!$A$97:$A$110,0),IF(Equipment!$E$11="level_2",MATCH("AC Charger - "&amp;TEXT(Equipment!$F$11,"0.0")&amp;" kW*"&amp;IF(N(Equipment!$H$11)&gt;=2,"Dual","Single")&amp;"*",PriceBook!$A$97:$A$110,0),MATCH("DC-"&amp;TEXT(Equipment!$F$11,"0")&amp;"kW*",PriceBook!$A$97:$A$110,0))))),0))</f>
        <v/>
      </c>
      <c r="E32" s="909">
        <f>IF($B32=0,0,IFERROR(N(INDEX(PriceBook!$E$97:$E$110,IFERROR(MATCH(Equipment!$C$11,PriceBook!$A$97:$A$110,0),IF(Equipment!$E$11="level_2",MATCH("AC Charger - "&amp;TEXT(Equipment!$F$11,"0.0")&amp;" kW*"&amp;IF(N(Equipment!$H$11)&gt;=2,"Dual","Single")&amp;"*",PriceBook!$A$97:$A$110,0),MATCH("DC-"&amp;TEXT(Equipment!$F$11,"0")&amp;"kW*",PriceBook!$A$97:$A$110,0))))),0))</f>
        <v/>
      </c>
      <c r="F32" s="863">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804" t="n"/>
      <c r="H32" s="804" t="n"/>
    </row>
    <row r="33" ht="16" customHeight="1" s="254">
      <c r="A33" s="862">
        <f>IF(Equipment!$C$12="","","Line 6 · "&amp;Equipment!$C$12)</f>
        <v/>
      </c>
      <c r="B33" s="871">
        <f>IF(AND(Equipment!$C$12&lt;&gt;"",OR(OR(Equipment!$E$12="all_in_one",Equipment!$E$12="power_cabinet"),Equipment!$E$12="level_2")),N(Equipment!$I$12),0)</f>
        <v/>
      </c>
      <c r="C33" s="871">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909">
        <f>IF($B33=0,0,IFERROR(N(INDEX(PriceBook!$D$97:$D$110,IFERROR(MATCH(Equipment!$C$12,PriceBook!$A$97:$A$110,0),IF(Equipment!$E$12="level_2",MATCH("AC Charger - "&amp;TEXT(Equipment!$F$12,"0.0")&amp;" kW*"&amp;IF(N(Equipment!$H$12)&gt;=2,"Dual","Single")&amp;"*",PriceBook!$A$97:$A$110,0),MATCH("DC-"&amp;TEXT(Equipment!$F$12,"0")&amp;"kW*",PriceBook!$A$97:$A$110,0))))),0))</f>
        <v/>
      </c>
      <c r="E33" s="909">
        <f>IF($B33=0,0,IFERROR(N(INDEX(PriceBook!$E$97:$E$110,IFERROR(MATCH(Equipment!$C$12,PriceBook!$A$97:$A$110,0),IF(Equipment!$E$12="level_2",MATCH("AC Charger - "&amp;TEXT(Equipment!$F$12,"0.0")&amp;" kW*"&amp;IF(N(Equipment!$H$12)&gt;=2,"Dual","Single")&amp;"*",PriceBook!$A$97:$A$110,0),MATCH("DC-"&amp;TEXT(Equipment!$F$12,"0")&amp;"kW*",PriceBook!$A$97:$A$110,0))))),0))</f>
        <v/>
      </c>
      <c r="F33" s="863">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804" t="n"/>
      <c r="H33" s="804" t="n"/>
    </row>
    <row r="34" ht="16" customHeight="1" s="254">
      <c r="A34" s="862">
        <f>IF(Equipment!$C$13="","","Line 7 · "&amp;Equipment!$C$13)</f>
        <v/>
      </c>
      <c r="B34" s="871">
        <f>IF(AND(Equipment!$C$13&lt;&gt;"",OR(OR(Equipment!$E$13="all_in_one",Equipment!$E$13="power_cabinet"),Equipment!$E$13="level_2")),N(Equipment!$I$13),0)</f>
        <v/>
      </c>
      <c r="C34" s="871">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909">
        <f>IF($B34=0,0,IFERROR(N(INDEX(PriceBook!$D$97:$D$110,IFERROR(MATCH(Equipment!$C$13,PriceBook!$A$97:$A$110,0),IF(Equipment!$E$13="level_2",MATCH("AC Charger - "&amp;TEXT(Equipment!$F$13,"0.0")&amp;" kW*"&amp;IF(N(Equipment!$H$13)&gt;=2,"Dual","Single")&amp;"*",PriceBook!$A$97:$A$110,0),MATCH("DC-"&amp;TEXT(Equipment!$F$13,"0")&amp;"kW*",PriceBook!$A$97:$A$110,0))))),0))</f>
        <v/>
      </c>
      <c r="E34" s="909">
        <f>IF($B34=0,0,IFERROR(N(INDEX(PriceBook!$E$97:$E$110,IFERROR(MATCH(Equipment!$C$13,PriceBook!$A$97:$A$110,0),IF(Equipment!$E$13="level_2",MATCH("AC Charger - "&amp;TEXT(Equipment!$F$13,"0.0")&amp;" kW*"&amp;IF(N(Equipment!$H$13)&gt;=2,"Dual","Single")&amp;"*",PriceBook!$A$97:$A$110,0),MATCH("DC-"&amp;TEXT(Equipment!$F$13,"0")&amp;"kW*",PriceBook!$A$97:$A$110,0))))),0))</f>
        <v/>
      </c>
      <c r="F34" s="863">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804" t="n"/>
      <c r="H34" s="804" t="n"/>
    </row>
    <row r="35" ht="16" customHeight="1" s="254">
      <c r="A35" s="862">
        <f>IF(Equipment!$C$14="","","Line 8 · "&amp;Equipment!$C$14)</f>
        <v/>
      </c>
      <c r="B35" s="871">
        <f>IF(AND(Equipment!$C$14&lt;&gt;"",OR(OR(Equipment!$E$14="all_in_one",Equipment!$E$14="power_cabinet"),Equipment!$E$14="level_2")),N(Equipment!$I$14),0)</f>
        <v/>
      </c>
      <c r="C35" s="871">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909">
        <f>IF($B35=0,0,IFERROR(N(INDEX(PriceBook!$D$97:$D$110,IFERROR(MATCH(Equipment!$C$14,PriceBook!$A$97:$A$110,0),IF(Equipment!$E$14="level_2",MATCH("AC Charger - "&amp;TEXT(Equipment!$F$14,"0.0")&amp;" kW*"&amp;IF(N(Equipment!$H$14)&gt;=2,"Dual","Single")&amp;"*",PriceBook!$A$97:$A$110,0),MATCH("DC-"&amp;TEXT(Equipment!$F$14,"0")&amp;"kW*",PriceBook!$A$97:$A$110,0))))),0))</f>
        <v/>
      </c>
      <c r="E35" s="909">
        <f>IF($B35=0,0,IFERROR(N(INDEX(PriceBook!$E$97:$E$110,IFERROR(MATCH(Equipment!$C$14,PriceBook!$A$97:$A$110,0),IF(Equipment!$E$14="level_2",MATCH("AC Charger - "&amp;TEXT(Equipment!$F$14,"0.0")&amp;" kW*"&amp;IF(N(Equipment!$H$14)&gt;=2,"Dual","Single")&amp;"*",PriceBook!$A$97:$A$110,0),MATCH("DC-"&amp;TEXT(Equipment!$F$14,"0")&amp;"kW*",PriceBook!$A$97:$A$110,0))))),0))</f>
        <v/>
      </c>
      <c r="F35" s="863">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804" t="n"/>
      <c r="H35" s="804" t="n"/>
    </row>
    <row r="36" ht="16" customHeight="1" s="254">
      <c r="A36" s="862">
        <f>IF(Equipment!$C$15="","","Line 9 · "&amp;Equipment!$C$15)</f>
        <v/>
      </c>
      <c r="B36" s="871">
        <f>IF(AND(Equipment!$C$15&lt;&gt;"",OR(OR(Equipment!$E$15="all_in_one",Equipment!$E$15="power_cabinet"),Equipment!$E$15="level_2")),N(Equipment!$I$15),0)</f>
        <v/>
      </c>
      <c r="C36" s="871">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909">
        <f>IF($B36=0,0,IFERROR(N(INDEX(PriceBook!$D$97:$D$110,IFERROR(MATCH(Equipment!$C$15,PriceBook!$A$97:$A$110,0),IF(Equipment!$E$15="level_2",MATCH("AC Charger - "&amp;TEXT(Equipment!$F$15,"0.0")&amp;" kW*"&amp;IF(N(Equipment!$H$15)&gt;=2,"Dual","Single")&amp;"*",PriceBook!$A$97:$A$110,0),MATCH("DC-"&amp;TEXT(Equipment!$F$15,"0")&amp;"kW*",PriceBook!$A$97:$A$110,0))))),0))</f>
        <v/>
      </c>
      <c r="E36" s="909">
        <f>IF($B36=0,0,IFERROR(N(INDEX(PriceBook!$E$97:$E$110,IFERROR(MATCH(Equipment!$C$15,PriceBook!$A$97:$A$110,0),IF(Equipment!$E$15="level_2",MATCH("AC Charger - "&amp;TEXT(Equipment!$F$15,"0.0")&amp;" kW*"&amp;IF(N(Equipment!$H$15)&gt;=2,"Dual","Single")&amp;"*",PriceBook!$A$97:$A$110,0),MATCH("DC-"&amp;TEXT(Equipment!$F$15,"0")&amp;"kW*",PriceBook!$A$97:$A$110,0))))),0))</f>
        <v/>
      </c>
      <c r="F36" s="863">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804" t="n"/>
      <c r="H36" s="804" t="n"/>
    </row>
    <row r="37" ht="16" customHeight="1" s="254">
      <c r="A37" s="862">
        <f>IF(Equipment!$C$16="","","Line 10 · "&amp;Equipment!$C$16)</f>
        <v/>
      </c>
      <c r="B37" s="871">
        <f>IF(AND(Equipment!$C$16&lt;&gt;"",OR(OR(Equipment!$E$16="all_in_one",Equipment!$E$16="power_cabinet"),Equipment!$E$16="level_2")),N(Equipment!$I$16),0)</f>
        <v/>
      </c>
      <c r="C37" s="871">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909">
        <f>IF($B37=0,0,IFERROR(N(INDEX(PriceBook!$D$97:$D$110,IFERROR(MATCH(Equipment!$C$16,PriceBook!$A$97:$A$110,0),IF(Equipment!$E$16="level_2",MATCH("AC Charger - "&amp;TEXT(Equipment!$F$16,"0.0")&amp;" kW*"&amp;IF(N(Equipment!$H$16)&gt;=2,"Dual","Single")&amp;"*",PriceBook!$A$97:$A$110,0),MATCH("DC-"&amp;TEXT(Equipment!$F$16,"0")&amp;"kW*",PriceBook!$A$97:$A$110,0))))),0))</f>
        <v/>
      </c>
      <c r="E37" s="909">
        <f>IF($B37=0,0,IFERROR(N(INDEX(PriceBook!$E$97:$E$110,IFERROR(MATCH(Equipment!$C$16,PriceBook!$A$97:$A$110,0),IF(Equipment!$E$16="level_2",MATCH("AC Charger - "&amp;TEXT(Equipment!$F$16,"0.0")&amp;" kW*"&amp;IF(N(Equipment!$H$16)&gt;=2,"Dual","Single")&amp;"*",PriceBook!$A$97:$A$110,0),MATCH("DC-"&amp;TEXT(Equipment!$F$16,"0")&amp;"kW*",PriceBook!$A$97:$A$110,0))))),0))</f>
        <v/>
      </c>
      <c r="F37" s="863">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804" t="n"/>
      <c r="H37" s="804" t="n"/>
    </row>
    <row r="38" ht="16" customHeight="1" s="254">
      <c r="A38" s="862">
        <f>IF(Equipment!$C$17="","","Line 11 · "&amp;Equipment!$C$17)</f>
        <v/>
      </c>
      <c r="B38" s="871">
        <f>IF(AND(Equipment!$C$17&lt;&gt;"",OR(OR(Equipment!$E$17="all_in_one",Equipment!$E$17="power_cabinet"),Equipment!$E$17="level_2")),N(Equipment!$I$17),0)</f>
        <v/>
      </c>
      <c r="C38" s="871">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909">
        <f>IF($B38=0,0,IFERROR(N(INDEX(PriceBook!$D$97:$D$110,IFERROR(MATCH(Equipment!$C$17,PriceBook!$A$97:$A$110,0),IF(Equipment!$E$17="level_2",MATCH("AC Charger - "&amp;TEXT(Equipment!$F$17,"0.0")&amp;" kW*"&amp;IF(N(Equipment!$H$17)&gt;=2,"Dual","Single")&amp;"*",PriceBook!$A$97:$A$110,0),MATCH("DC-"&amp;TEXT(Equipment!$F$17,"0")&amp;"kW*",PriceBook!$A$97:$A$110,0))))),0))</f>
        <v/>
      </c>
      <c r="E38" s="909">
        <f>IF($B38=0,0,IFERROR(N(INDEX(PriceBook!$E$97:$E$110,IFERROR(MATCH(Equipment!$C$17,PriceBook!$A$97:$A$110,0),IF(Equipment!$E$17="level_2",MATCH("AC Charger - "&amp;TEXT(Equipment!$F$17,"0.0")&amp;" kW*"&amp;IF(N(Equipment!$H$17)&gt;=2,"Dual","Single")&amp;"*",PriceBook!$A$97:$A$110,0),MATCH("DC-"&amp;TEXT(Equipment!$F$17,"0")&amp;"kW*",PriceBook!$A$97:$A$110,0))))),0))</f>
        <v/>
      </c>
      <c r="F38" s="863">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804" t="n"/>
      <c r="H38" s="804" t="n"/>
    </row>
    <row r="39" ht="16" customHeight="1" s="254">
      <c r="A39" s="862">
        <f>IF(Equipment!$C$18="","","Line 12 · "&amp;Equipment!$C$18)</f>
        <v/>
      </c>
      <c r="B39" s="871">
        <f>IF(AND(Equipment!$C$18&lt;&gt;"",OR(OR(Equipment!$E$18="all_in_one",Equipment!$E$18="power_cabinet"),Equipment!$E$18="level_2")),N(Equipment!$I$18),0)</f>
        <v/>
      </c>
      <c r="C39" s="871">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909">
        <f>IF($B39=0,0,IFERROR(N(INDEX(PriceBook!$D$97:$D$110,IFERROR(MATCH(Equipment!$C$18,PriceBook!$A$97:$A$110,0),IF(Equipment!$E$18="level_2",MATCH("AC Charger - "&amp;TEXT(Equipment!$F$18,"0.0")&amp;" kW*"&amp;IF(N(Equipment!$H$18)&gt;=2,"Dual","Single")&amp;"*",PriceBook!$A$97:$A$110,0),MATCH("DC-"&amp;TEXT(Equipment!$F$18,"0")&amp;"kW*",PriceBook!$A$97:$A$110,0))))),0))</f>
        <v/>
      </c>
      <c r="E39" s="909">
        <f>IF($B39=0,0,IFERROR(N(INDEX(PriceBook!$E$97:$E$110,IFERROR(MATCH(Equipment!$C$18,PriceBook!$A$97:$A$110,0),IF(Equipment!$E$18="level_2",MATCH("AC Charger - "&amp;TEXT(Equipment!$F$18,"0.0")&amp;" kW*"&amp;IF(N(Equipment!$H$18)&gt;=2,"Dual","Single")&amp;"*",PriceBook!$A$97:$A$110,0),MATCH("DC-"&amp;TEXT(Equipment!$F$18,"0")&amp;"kW*",PriceBook!$A$97:$A$110,0))))),0))</f>
        <v/>
      </c>
      <c r="F39" s="863">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804" t="n"/>
      <c r="H39" s="804" t="n"/>
    </row>
    <row r="40" ht="31" customHeight="1" s="254">
      <c r="A40" s="904" t="inlineStr">
        <is>
          <t>Service and warranty at list, all lines</t>
        </is>
      </c>
      <c r="B40" s="905">
        <f>SUMPRODUCT($B$28:$B$39,(($C$28:$C$39&lt;Commercial!$B$12)*$C$28:$C$39+($C$28:$C$39&gt;=Commercial!$B$12)*Commercial!$B$12)*$D$28:$D$39+(($C$28:$C$39&lt;Commercial!$B$12)*(Commercial!$B$12-$C$28:$C$39))*$E$28:$E$39)</f>
        <v/>
      </c>
      <c r="C40" s="906" t="n"/>
      <c r="D40" s="906" t="n"/>
      <c r="E40" s="906" t="n"/>
      <c r="F40" s="910">
        <f>TEXT(Commercial!$B$12,"0")&amp;" contract year(s). The line above reads this figure."</f>
        <v/>
      </c>
      <c r="G40" s="804" t="n"/>
      <c r="H40" s="804" t="n"/>
    </row>
    <row r="41" ht="16" customHeight="1" s="254">
      <c r="A41" s="781" t="inlineStr">
        <is>
          <t>Every scheduled unit has a class?</t>
        </is>
      </c>
      <c r="B41" s="810">
        <f>IF(COUNTIF($F$28:$F$39,"NO SERVICE CLASS*")&gt;0,"NO — "&amp;COUNTIF($F$28:$F$39,"NO SERVICE CLASS*")&amp;" line(s) have no service class in the price book; the service line is short by them","OK — every charging unit matched a service class")</f>
        <v/>
      </c>
      <c r="C41" s="804" t="n"/>
      <c r="D41" s="804" t="n"/>
      <c r="E41" s="804" t="n"/>
      <c r="F41" s="804" t="n"/>
      <c r="G41" s="804" t="n"/>
      <c r="H41" s="804" t="n"/>
    </row>
    <row r="42" ht="16" customHeight="1" s="254">
      <c r="A42" s="811" t="n"/>
      <c r="B42" s="804" t="n"/>
      <c r="C42" s="804" t="n"/>
      <c r="D42" s="804" t="n"/>
      <c r="E42" s="804" t="n"/>
      <c r="F42" s="804" t="n"/>
      <c r="G42" s="804" t="n"/>
      <c r="H42" s="804" t="n"/>
    </row>
    <row r="43" ht="19.75" customHeight="1" s="254">
      <c r="A43" s="798" t="inlineStr">
        <is>
          <t>EVOLV network and commissioning — the platform fee behind the line above</t>
        </is>
      </c>
    </row>
    <row r="44" ht="16" customHeight="1" s="254">
      <c r="A44" s="781" t="inlineStr">
        <is>
          <t>Ports (connectors) on the schedule</t>
        </is>
      </c>
      <c r="B44" s="809">
        <f>Equipment!$B$22</f>
        <v/>
      </c>
      <c r="C44" s="814" t="inlineStr">
        <is>
          <t>The billing basis is ports, never cabinets.</t>
        </is>
      </c>
      <c r="G44" s="804" t="n"/>
      <c r="H44" s="804" t="n"/>
    </row>
    <row r="45" ht="16" customHeight="1" s="254">
      <c r="A45" s="781" t="inlineStr">
        <is>
          <t>Fee per port per month</t>
        </is>
      </c>
      <c r="B45" s="870">
        <f>Commercial!$B$14</f>
        <v/>
      </c>
      <c r="C45" s="804" t="n"/>
      <c r="D45" s="804" t="n"/>
      <c r="E45" s="804" t="n"/>
      <c r="F45" s="804" t="n"/>
      <c r="G45" s="804" t="n"/>
      <c r="H45" s="804" t="n"/>
    </row>
    <row r="46" ht="16" customHeight="1" s="254">
      <c r="A46" s="781" t="inlineStr">
        <is>
          <t>Contract years</t>
        </is>
      </c>
      <c r="B46" s="809">
        <f>Commercial!$B$12</f>
        <v/>
      </c>
      <c r="C46" s="804" t="n"/>
      <c r="D46" s="804" t="n"/>
      <c r="E46" s="804" t="n"/>
      <c r="F46" s="804" t="n"/>
      <c r="G46" s="804" t="n"/>
      <c r="H46" s="804" t="n"/>
    </row>
    <row r="47" ht="16" customHeight="1" s="254">
      <c r="A47" s="781" t="inlineStr">
        <is>
          <t>EVOLV across the contract, at list</t>
        </is>
      </c>
      <c r="B47" s="870">
        <f>$B$8</f>
        <v/>
      </c>
      <c r="C47" s="804" t="n"/>
      <c r="D47" s="804" t="n"/>
      <c r="E47" s="804" t="n"/>
      <c r="F47" s="804" t="n"/>
      <c r="G47" s="804" t="n"/>
      <c r="H47" s="804" t="n"/>
    </row>
    <row r="48" ht="16" customHeight="1" s="254">
      <c r="A48" s="781" t="inlineStr">
        <is>
          <t>Service feeder</t>
        </is>
      </c>
      <c r="B48" s="810">
        <f>IF(LEFT(Electrical!$B$155,7)="Utility","provided by the utility — nothing to price","PROVIDED BY ZERO IMPACT ENERGY — the model sizes and prices this run; it is not in the wire line above")</f>
        <v/>
      </c>
      <c r="C48" s="804" t="n"/>
      <c r="D48" s="804" t="n"/>
      <c r="E48" s="804" t="n"/>
      <c r="F48" s="804" t="n"/>
      <c r="G48" s="804" t="n"/>
      <c r="H48" s="804" t="n"/>
    </row>
  </sheetData>
  <sheetProtection selectLockedCells="0" selectUnlockedCells="0" sheet="1" objects="0" insertRows="1" insertHyperlinks="1" autoFilter="1" scenarios="0" formatColumns="0" deleteColumns="1" insertColumns="1" pivotTables="1" deleteRows="1" formatCells="1" formatRows="0" sort="1"/>
  <mergeCells count="9">
    <mergeCell ref="C22:F22"/>
    <mergeCell ref="A2:F2"/>
    <mergeCell ref="C23:F23"/>
    <mergeCell ref="A25:H25"/>
    <mergeCell ref="A43:H43"/>
    <mergeCell ref="A1:F1"/>
    <mergeCell ref="C21:F21"/>
    <mergeCell ref="A26:F26"/>
    <mergeCell ref="C44:F44"/>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7"/>
    <col width="9" customWidth="1" style="254" min="5" max="5"/>
    <col width="9" customWidth="1" style="254" min="6" max="6"/>
    <col width="9" customWidth="1" style="254" min="7" max="7"/>
  </cols>
  <sheetData>
    <row r="1" ht="26" customHeight="1" s="254">
      <c r="A1" s="790" t="inlineStr">
        <is>
          <t>6 · REVENUE ASSUMPTIONS</t>
        </is>
      </c>
      <c r="G1" s="804" t="n"/>
    </row>
    <row r="2" ht="43.5" customHeight="1" s="254">
      <c r="A2" s="792" t="inlineStr">
        <is>
          <t>Every one of these will be challenged by the customer. Set them where you can defend them.</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Pricing</t>
        </is>
      </c>
      <c r="B4" s="804" t="n"/>
      <c r="C4" s="804" t="n"/>
      <c r="D4" s="804" t="n"/>
      <c r="E4" s="804" t="n"/>
      <c r="F4" s="804" t="n"/>
      <c r="G4" s="804" t="n"/>
    </row>
    <row r="5" ht="16" customHeight="1" s="254">
      <c r="A5" s="781" t="inlineStr">
        <is>
          <t>Retail price to driver ($/kWh)</t>
        </is>
      </c>
      <c r="B5" s="911" t="n">
        <v>0.65</v>
      </c>
      <c r="C5" s="804" t="n"/>
      <c r="D5" s="804" t="n"/>
      <c r="E5" s="804" t="n"/>
      <c r="F5" s="804" t="n"/>
      <c r="G5" s="804" t="n"/>
    </row>
    <row r="6" ht="31" customHeight="1" s="254">
      <c r="A6" s="781" t="inlineStr">
        <is>
          <t>Delivered energy cost — leave blank, now derived</t>
        </is>
      </c>
      <c r="B6" s="912">
        <f>IF(N($B$91)=0,"",$B$91)</f>
        <v/>
      </c>
      <c r="C6" s="814" t="inlineStr">
        <is>
          <t>Derived from the tariff block at the foot of this tab. Set the figures there.</t>
        </is>
      </c>
      <c r="E6" s="804" t="n"/>
      <c r="F6" s="804" t="n"/>
      <c r="G6" s="804" t="n"/>
    </row>
    <row r="7" ht="31" customHeight="1" s="254">
      <c r="A7" s="781" t="inlineStr">
        <is>
          <t>Utility subscription — leave blank, now derived</t>
        </is>
      </c>
      <c r="B7" s="913">
        <f>IF(N($B$95)=0,"",$B$95)</f>
        <v/>
      </c>
      <c r="C7" s="814" t="inlineStr">
        <is>
          <t>Customer charge plus demand charge, annualised, from the tariff block at the foot of this tab. On a demand schedule this is the largest number on the page.</t>
        </is>
      </c>
    </row>
    <row r="8" ht="16" customHeight="1" s="254">
      <c r="A8" s="781" t="inlineStr">
        <is>
          <t>Card processing fee (% of gross)</t>
        </is>
      </c>
      <c r="B8" s="887" t="n">
        <v>0.03</v>
      </c>
      <c r="C8" s="804" t="n"/>
      <c r="D8" s="804" t="n"/>
      <c r="E8" s="804" t="n"/>
      <c r="F8" s="804" t="n"/>
      <c r="G8" s="804" t="n"/>
    </row>
    <row r="9" ht="16" customHeight="1" s="254">
      <c r="A9" s="781" t="inlineStr">
        <is>
          <t>Idle fee revenue included?</t>
        </is>
      </c>
      <c r="B9" s="799" t="inlineStr">
        <is>
          <t>No</t>
        </is>
      </c>
      <c r="C9" s="792" t="inlineStr">
        <is>
          <t>Keep this No unless it is contracted</t>
        </is>
      </c>
      <c r="D9" s="804" t="n"/>
      <c r="E9" s="804" t="n"/>
      <c r="F9" s="804" t="n"/>
      <c r="G9" s="804" t="n"/>
    </row>
    <row r="10" ht="16" customHeight="1" s="254">
      <c r="A10" s="811" t="n"/>
      <c r="B10" s="804" t="n"/>
      <c r="C10" s="804" t="n"/>
      <c r="D10" s="804" t="n"/>
      <c r="E10" s="804" t="n"/>
      <c r="F10" s="804" t="n"/>
      <c r="G10" s="804" t="n"/>
    </row>
    <row r="11" ht="19.75" customHeight="1" s="254">
      <c r="A11" s="798" t="inlineStr">
        <is>
          <t>Utilisation — steady state</t>
        </is>
      </c>
      <c r="B11" s="804" t="n"/>
      <c r="C11" s="804" t="n"/>
      <c r="D11" s="804" t="n"/>
      <c r="E11" s="804" t="n"/>
      <c r="F11" s="804" t="n"/>
      <c r="G11" s="804" t="n"/>
    </row>
    <row r="12" ht="16" customHeight="1" s="254">
      <c r="A12" s="781" t="inlineStr">
        <is>
          <t>Hours per day the site is chargeable</t>
        </is>
      </c>
      <c r="B12" s="914">
        <f>Project!B22</f>
        <v/>
      </c>
      <c r="C12" s="792" t="inlineStr">
        <is>
          <t>From 1_Project</t>
        </is>
      </c>
      <c r="D12" s="804" t="n"/>
      <c r="E12" s="804" t="n"/>
      <c r="F12" s="804" t="n"/>
      <c r="G12" s="804" t="n"/>
    </row>
    <row r="13" ht="31" customHeight="1" s="254">
      <c r="A13" s="781" t="inlineStr">
        <is>
          <t>Stall occupancy (share of stalls used per day)</t>
        </is>
      </c>
      <c r="B13" s="887" t="n">
        <v>0.2</v>
      </c>
      <c r="C13" s="804" t="n"/>
      <c r="D13" s="804" t="n"/>
      <c r="E13" s="804" t="n"/>
      <c r="F13" s="804" t="n"/>
      <c r="G13" s="804" t="n"/>
    </row>
    <row r="14" ht="31" customHeight="1" s="254">
      <c r="A14" s="781" t="inlineStr">
        <is>
          <t>Charging hours per occupied stall, as share of open hours</t>
        </is>
      </c>
      <c r="B14" s="887" t="n">
        <v>0.25</v>
      </c>
      <c r="C14" s="804" t="n"/>
      <c r="D14" s="804" t="n"/>
      <c r="E14" s="804" t="n"/>
      <c r="F14" s="804" t="n"/>
      <c r="G14" s="804" t="n"/>
    </row>
    <row r="15" ht="16" customHeight="1" s="254">
      <c r="A15" s="781" t="inlineStr">
        <is>
          <t>Nameplate de-rate factor</t>
        </is>
      </c>
      <c r="B15" s="915" t="n">
        <v>0.98</v>
      </c>
      <c r="C15" s="792" t="inlineStr">
        <is>
          <t>Cabinet output vs label</t>
        </is>
      </c>
      <c r="D15" s="804" t="n"/>
      <c r="E15" s="804" t="n"/>
      <c r="F15" s="804" t="n"/>
      <c r="G15" s="804" t="n"/>
    </row>
    <row r="16" ht="31" customHeight="1" s="254">
      <c r="A16" s="781" t="inlineStr">
        <is>
          <t>Average delivered power, share of port rating</t>
        </is>
      </c>
      <c r="B16" s="893" t="n">
        <v>0.7</v>
      </c>
      <c r="C16" s="792" t="inlineStr">
        <is>
          <t>CHARGING-CURVE TAPER</t>
        </is>
      </c>
      <c r="D16" s="804" t="n"/>
      <c r="E16" s="804" t="n"/>
      <c r="F16" s="804" t="n"/>
      <c r="G16" s="804" t="n"/>
    </row>
    <row r="17" ht="16" customHeight="1" s="254">
      <c r="A17" s="811" t="n"/>
      <c r="B17" s="804" t="n"/>
      <c r="C17" s="804" t="n"/>
      <c r="D17" s="804" t="n"/>
      <c r="E17" s="804" t="n"/>
      <c r="F17" s="804" t="n"/>
      <c r="G17" s="804" t="n"/>
    </row>
    <row r="18" ht="19.75" customHeight="1" s="254">
      <c r="A18" s="798" t="inlineStr">
        <is>
          <t>Ramp and growth</t>
        </is>
      </c>
      <c r="B18" s="804" t="n"/>
      <c r="C18" s="804" t="n"/>
      <c r="D18" s="804" t="n"/>
      <c r="E18" s="804" t="n"/>
      <c r="F18" s="804" t="n"/>
      <c r="G18" s="804" t="n"/>
    </row>
    <row r="19" ht="16" customHeight="1" s="254">
      <c r="A19" s="781" t="inlineStr">
        <is>
          <t>Year 1 share of steady state</t>
        </is>
      </c>
      <c r="B19" s="893" t="n">
        <v>0.5</v>
      </c>
      <c r="C19" s="792" t="inlineStr">
        <is>
          <t>Greenfield sites take time to fill</t>
        </is>
      </c>
      <c r="D19" s="804" t="n"/>
      <c r="E19" s="804" t="n"/>
      <c r="F19" s="804" t="n"/>
      <c r="G19" s="804" t="n"/>
    </row>
    <row r="20" ht="16" customHeight="1" s="254">
      <c r="A20" s="781" t="inlineStr">
        <is>
          <t>Year 2 share of steady state</t>
        </is>
      </c>
      <c r="B20" s="893" t="n">
        <v>0.75</v>
      </c>
      <c r="C20" s="804" t="n"/>
      <c r="D20" s="804" t="n"/>
      <c r="E20" s="804" t="n"/>
      <c r="F20" s="804" t="n"/>
      <c r="G20" s="804" t="n"/>
    </row>
    <row r="21" ht="16" customHeight="1" s="254">
      <c r="A21" s="781" t="inlineStr">
        <is>
          <t>Year 3 share of steady state</t>
        </is>
      </c>
      <c r="B21" s="893" t="n">
        <v>1</v>
      </c>
      <c r="C21" s="804" t="n"/>
      <c r="D21" s="804" t="n"/>
      <c r="E21" s="804" t="n"/>
      <c r="F21" s="804" t="n"/>
      <c r="G21" s="804" t="n"/>
    </row>
    <row r="22" ht="16" customHeight="1" s="254">
      <c r="A22" s="781" t="inlineStr">
        <is>
          <t>Annual growth after ramp</t>
        </is>
      </c>
      <c r="B22" s="887" t="n">
        <v>0.06</v>
      </c>
      <c r="C22" s="792" t="inlineStr">
        <is>
          <t>Justify as a level, not a rate</t>
        </is>
      </c>
      <c r="D22" s="804" t="n"/>
      <c r="E22" s="804" t="n"/>
      <c r="F22" s="804" t="n"/>
      <c r="G22" s="804" t="n"/>
    </row>
    <row r="23" ht="16" customHeight="1" s="254">
      <c r="A23" s="811" t="n"/>
      <c r="B23" s="804" t="n"/>
      <c r="C23" s="804" t="n"/>
      <c r="D23" s="804" t="n"/>
      <c r="E23" s="804" t="n"/>
      <c r="F23" s="804" t="n"/>
      <c r="G23" s="804" t="n"/>
    </row>
    <row r="24" ht="47.25" customHeight="1" s="254">
      <c r="A24" s="798" t="inlineStr">
        <is>
          <t>Historical actuals — replacement sites only, leave blank for greenfield</t>
        </is>
      </c>
      <c r="B24" s="804" t="n"/>
      <c r="C24" s="804" t="n"/>
      <c r="D24" s="804" t="n"/>
      <c r="E24" s="804" t="n"/>
      <c r="F24" s="804" t="n"/>
      <c r="G24" s="804" t="n"/>
    </row>
    <row r="25" hidden="1" outlineLevel="1" ht="16" customHeight="1" s="254">
      <c r="A25" s="781" t="inlineStr">
        <is>
          <t>Months of history available</t>
        </is>
      </c>
      <c r="B25" s="819" t="n"/>
      <c r="C25" s="804" t="n"/>
      <c r="D25" s="804" t="n"/>
      <c r="E25" s="804" t="n"/>
      <c r="F25" s="804" t="n"/>
      <c r="G25" s="804" t="n"/>
    </row>
    <row r="26" hidden="1" outlineLevel="1" ht="16" customHeight="1" s="254">
      <c r="A26" s="781" t="inlineStr">
        <is>
          <t>Historical kWh dispensed per day</t>
        </is>
      </c>
      <c r="B26" s="916" t="n"/>
      <c r="C26" s="804" t="n"/>
      <c r="D26" s="804" t="n"/>
      <c r="E26" s="804" t="n"/>
      <c r="F26" s="804" t="n"/>
      <c r="G26" s="804" t="n"/>
    </row>
    <row r="27" hidden="1" outlineLevel="1" ht="16" customHeight="1" s="254">
      <c r="A27" s="781" t="inlineStr">
        <is>
          <t>Historical gross revenue per year</t>
        </is>
      </c>
      <c r="B27" s="900" t="n"/>
      <c r="C27" s="804" t="n"/>
      <c r="D27" s="804" t="n"/>
      <c r="E27" s="804" t="n"/>
      <c r="F27" s="804" t="n"/>
      <c r="G27" s="804" t="n"/>
    </row>
    <row r="28" hidden="1" outlineLevel="1" ht="16" customHeight="1" s="254">
      <c r="A28" s="781" t="inlineStr">
        <is>
          <t>Historical net profit per year</t>
        </is>
      </c>
      <c r="B28" s="900" t="n"/>
      <c r="C28" s="804" t="n"/>
      <c r="D28" s="804" t="n"/>
      <c r="E28" s="804" t="n"/>
      <c r="F28" s="804" t="n"/>
      <c r="G28" s="804" t="n"/>
    </row>
    <row r="29" hidden="1" outlineLevel="1" ht="16" customHeight="1" s="254">
      <c r="A29" s="781" t="inlineStr">
        <is>
          <t>Ports in service on an average day</t>
        </is>
      </c>
      <c r="B29" s="834" t="n"/>
      <c r="C29" s="804" t="n"/>
      <c r="D29" s="804" t="n"/>
      <c r="E29" s="804" t="n"/>
      <c r="F29" s="804" t="n"/>
      <c r="G29" s="804" t="n"/>
    </row>
    <row r="30" hidden="1" outlineLevel="1" ht="16" customHeight="1" s="254">
      <c r="A30" s="781" t="inlineStr">
        <is>
          <t>Share of sessions under 1 kWh</t>
        </is>
      </c>
      <c r="B30" s="839" t="n"/>
      <c r="C30" s="792" t="inlineStr">
        <is>
          <t>Failed-session rate</t>
        </is>
      </c>
      <c r="D30" s="804" t="n"/>
      <c r="E30" s="804" t="n"/>
      <c r="F30" s="804" t="n"/>
      <c r="G30" s="804" t="n"/>
    </row>
    <row r="31" hidden="1" outlineLevel="1" ht="16" customHeight="1" s="254">
      <c r="A31" s="811" t="n"/>
      <c r="B31" s="804" t="n"/>
      <c r="C31" s="804" t="n"/>
      <c r="D31" s="804" t="n"/>
      <c r="E31" s="804" t="n"/>
      <c r="F31" s="804" t="n"/>
      <c r="G31" s="804" t="n"/>
    </row>
    <row r="32" ht="33.5" customHeight="1" s="254">
      <c r="A32" s="798" t="inlineStr">
        <is>
          <t>Utility rate selection — drives the delivered energy cost</t>
        </is>
      </c>
      <c r="B32" s="804" t="n"/>
      <c r="C32" s="804" t="n"/>
      <c r="D32" s="804" t="n"/>
      <c r="E32" s="804" t="n"/>
      <c r="F32" s="804" t="n"/>
      <c r="G32" s="804" t="n"/>
    </row>
    <row r="33" ht="16" customHeight="1" s="254">
      <c r="A33" s="792" t="inlineStr">
        <is>
          <t>Pick the utility and schedule and the model derives $/kWh and the subscription from the tariff. No blended guess required.</t>
        </is>
      </c>
      <c r="F33" s="804" t="n"/>
      <c r="G33" s="804" t="n"/>
    </row>
    <row r="34" ht="16" customHeight="1" s="254">
      <c r="A34" s="811" t="n"/>
      <c r="B34" s="804" t="n"/>
      <c r="C34" s="804" t="n"/>
      <c r="D34" s="804" t="n"/>
      <c r="E34" s="804" t="n"/>
      <c r="F34" s="804" t="n"/>
      <c r="G34" s="804" t="n"/>
    </row>
    <row r="35" ht="16" customHeight="1" s="254">
      <c r="A35" s="781" t="inlineStr">
        <is>
          <t>Utility</t>
        </is>
      </c>
      <c r="B35" s="917">
        <f>IF(Project!$B$26="","",Project!$B$26)</f>
        <v/>
      </c>
      <c r="C35" s="814" t="inlineStr">
        <is>
          <t>Reads the utility named on the Project tab. Set it there.</t>
        </is>
      </c>
      <c r="E35" s="804" t="n"/>
      <c r="F35" s="804" t="n"/>
      <c r="G35" s="804" t="n"/>
    </row>
    <row r="36" ht="31" customHeight="1" s="254">
      <c r="A36" s="781" t="inlineStr">
        <is>
          <t>Rate schedule</t>
        </is>
      </c>
      <c r="B36" s="807" t="inlineStr">
        <is>
          <t>TOU-EV-9</t>
        </is>
      </c>
      <c r="C36" s="814" t="inlineStr">
        <is>
          <t>Pick the schedule this site will actually take. The list is on the Utilities tab under RATE SCHEDULE PICKER; add the schedule there first if it is not on it.</t>
        </is>
      </c>
    </row>
    <row r="37" ht="31" customHeight="1" s="254">
      <c r="A37" s="781" t="inlineStr">
        <is>
          <t>Service voltage level</t>
        </is>
      </c>
      <c r="B37" s="807" t="inlineStr">
        <is>
          <t>Secondary</t>
        </is>
      </c>
      <c r="C37" s="814" t="inlineStr">
        <is>
          <t>Secondary or primary. On schedules that price them differently this changes the rate.</t>
        </is>
      </c>
      <c r="E37" s="804" t="n"/>
      <c r="F37" s="804" t="n"/>
      <c r="G37" s="804" t="n"/>
    </row>
    <row r="38" ht="31" customHeight="1" s="254">
      <c r="A38" s="781" t="inlineStr">
        <is>
          <t>Share of energy dispensed on-peak</t>
        </is>
      </c>
      <c r="B38" s="887" t="n">
        <v>0.3</v>
      </c>
      <c r="C38" s="814" t="inlineStr">
        <is>
          <t>Only if the schedule has time-of-use periods, and then from ITS periods — not from a remembered 4-9 pm peak. Leave all three blank on a flat schedule.</t>
        </is>
      </c>
    </row>
    <row r="39" ht="16" customHeight="1" s="254">
      <c r="A39" s="781" t="inlineStr">
        <is>
          <t>Share off-peak</t>
        </is>
      </c>
      <c r="B39" s="887" t="n">
        <v>0.55</v>
      </c>
      <c r="C39" s="804" t="n"/>
      <c r="D39" s="804" t="n"/>
      <c r="E39" s="804" t="n"/>
      <c r="F39" s="804" t="n"/>
      <c r="G39" s="804" t="n"/>
    </row>
    <row r="40" ht="16" customHeight="1" s="254">
      <c r="A40" s="781" t="inlineStr">
        <is>
          <t>Share super off-peak</t>
        </is>
      </c>
      <c r="B40" s="887" t="n">
        <v>0.15</v>
      </c>
      <c r="C40" s="814" t="inlineStr">
        <is>
          <t>The three shares must sum to 100% where they are used at all.</t>
        </is>
      </c>
      <c r="E40" s="804" t="n"/>
      <c r="F40" s="804" t="n"/>
      <c r="G40" s="804" t="n"/>
    </row>
    <row r="41" ht="31" customHeight="1" s="254">
      <c r="A41" s="781" t="inlineStr">
        <is>
          <t>Expected peak concurrency (ports drawing at once)</t>
        </is>
      </c>
      <c r="B41" s="918">
        <f>IF(OR(N($B$117)=0,N($B$52)=0),"",ROUNDUP($B$117*$B$52,0))</f>
        <v/>
      </c>
      <c r="C41" s="814" t="inlineStr">
        <is>
          <t>DERIVED, not typed. Average concurrent positions across both streams (the block at the foot of this tab) times the peak-to-average factor below.</t>
        </is>
      </c>
    </row>
    <row r="42" ht="68.5" customHeight="1" s="254">
      <c r="A42" s="781" t="inlineStr">
        <is>
          <t>Subscribed kW</t>
        </is>
      </c>
      <c r="B42" s="918">
        <f>IF(N($B$41)=0,"",IF($B$51="Subscribe at full nameplate",Equipment!$B$23,$B$41*IF(N($B$117)=0,0,($B$115*IF($B$54="Yes",$B$74,$B$75)+$B$116*IF($B$54="Yes",$B$108,$B$108*$B$15))/$B$117)*(1+N($B$53))))</f>
        <v/>
      </c>
      <c r="C42" s="8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6" customHeight="1" s="254">
      <c r="A43" s="811" t="n"/>
      <c r="B43" s="804" t="n"/>
      <c r="C43" s="804" t="n"/>
      <c r="D43" s="804" t="n"/>
      <c r="E43" s="804" t="n"/>
      <c r="F43" s="804" t="n"/>
      <c r="G43" s="804" t="n"/>
    </row>
    <row r="44" ht="19.75" customHeight="1" s="254">
      <c r="A44" s="798" t="inlineStr">
        <is>
          <t>Market benchmarking</t>
        </is>
      </c>
      <c r="B44" s="804" t="n"/>
      <c r="C44" s="804" t="n"/>
      <c r="D44" s="804" t="n"/>
      <c r="E44" s="804" t="n"/>
      <c r="F44" s="804" t="n"/>
      <c r="G44" s="804" t="n"/>
    </row>
    <row r="45" ht="43.5" customHeight="1" s="254">
      <c r="A45" s="781" t="inlineStr">
        <is>
          <t>State for benchmarking</t>
        </is>
      </c>
      <c r="B45" s="807" t="inlineStr">
        <is>
          <t>California</t>
        </is>
      </c>
      <c r="C45" s="814" t="inlineStr">
        <is>
          <t>REQUIRED. Pick the market this projection should be tested against — the list is on RefData under MARKET BENCHMARKS. There is no default: this used to say California on every project regardless of where the site was.</t>
        </is>
      </c>
    </row>
    <row r="46" ht="31" customHeight="1" s="254">
      <c r="A46" s="781" t="inlineStr">
        <is>
          <t>Expected site factor (% of the state average port)</t>
        </is>
      </c>
      <c r="B46" s="887" t="n"/>
      <c r="C46" s="792" t="inlineStr">
        <is>
          <t>Leave blank and the model derives it from your utilisation inputs</t>
        </is>
      </c>
      <c r="E46" s="804" t="n"/>
      <c r="F46" s="804" t="n"/>
      <c r="G46" s="804" t="n"/>
    </row>
    <row r="47" ht="16" customHeight="1" s="254">
      <c r="A47" s="811" t="n"/>
      <c r="B47" s="804" t="n"/>
      <c r="C47" s="804" t="n"/>
      <c r="D47" s="804" t="n"/>
      <c r="E47" s="804" t="n"/>
      <c r="F47" s="804" t="n"/>
      <c r="G47" s="804" t="n"/>
    </row>
    <row r="48" ht="33.5" customHeight="1" s="254">
      <c r="A48" s="798" t="inlineStr">
        <is>
          <t>Demand subscription — how it should ramp</t>
        </is>
      </c>
      <c r="B48" s="804" t="n"/>
      <c r="C48" s="804" t="n"/>
      <c r="D48" s="804" t="n"/>
      <c r="E48" s="804" t="n"/>
      <c r="F48" s="804" t="n"/>
      <c r="G48" s="804" t="n"/>
    </row>
    <row r="49" ht="31" customHeight="1" s="254">
      <c r="A49" s="792" t="inlineStr">
        <is>
          <t>Demand charges are set by simultaneous draw, not annual energy. A site that fills gradually should not carry a full-nameplate subscription from day one.</t>
        </is>
      </c>
      <c r="F49" s="804" t="n"/>
      <c r="G49" s="804" t="n"/>
    </row>
    <row r="50" ht="16" customHeight="1" s="254">
      <c r="A50" s="811" t="n"/>
      <c r="B50" s="804" t="n"/>
      <c r="C50" s="804" t="n"/>
      <c r="D50" s="804" t="n"/>
      <c r="E50" s="804" t="n"/>
      <c r="F50" s="804" t="n"/>
      <c r="G50" s="804" t="n"/>
    </row>
    <row r="51" ht="31" customHeight="1" s="254">
      <c r="A51" s="781" t="inlineStr">
        <is>
          <t>Subscription policy</t>
        </is>
      </c>
      <c r="B51" s="807" t="inlineStr">
        <is>
          <t>Ramped to projected demand</t>
        </is>
      </c>
      <c r="C51" s="804" t="n"/>
      <c r="D51" s="804" t="n"/>
      <c r="E51" s="804" t="n"/>
      <c r="F51" s="804" t="n"/>
      <c r="G51" s="804" t="n"/>
    </row>
    <row r="52" ht="31" customHeight="1" s="254">
      <c r="A52" s="781" t="inlineStr">
        <is>
          <t>Peak-to-average concurrency factor</t>
        </is>
      </c>
      <c r="B52" s="919" t="n">
        <v>4</v>
      </c>
      <c r="C52" s="792" t="inlineStr">
        <is>
          <t>Ratio of peak simultaneous draw to the daily average</t>
        </is>
      </c>
      <c r="D52" s="804" t="n"/>
      <c r="E52" s="804" t="n"/>
      <c r="F52" s="804" t="n"/>
      <c r="G52" s="804" t="n"/>
    </row>
    <row r="53" ht="31" customHeight="1" s="254">
      <c r="A53" s="781" t="inlineStr">
        <is>
          <t>Safety margin on subscribed kW</t>
        </is>
      </c>
      <c r="B53" s="887" t="n">
        <v>0.2</v>
      </c>
      <c r="C53" s="792" t="inlineStr">
        <is>
          <t>Headroom above projected peak before overage bites</t>
        </is>
      </c>
      <c r="D53" s="804" t="n"/>
      <c r="E53" s="804" t="n"/>
      <c r="F53" s="804" t="n"/>
      <c r="G53" s="804" t="n"/>
    </row>
    <row r="54" ht="31" customHeight="1" s="254">
      <c r="A54" s="781" t="inlineStr">
        <is>
          <t>Size demand on full port rating?</t>
        </is>
      </c>
      <c r="B54" s="807" t="inlineStr">
        <is>
          <t>Yes</t>
        </is>
      </c>
      <c r="C54" s="792" t="inlineStr">
        <is>
          <t>A vehicle at the start of a session draws full power</t>
        </is>
      </c>
      <c r="D54" s="804" t="n"/>
      <c r="E54" s="804" t="n"/>
      <c r="F54" s="804" t="n"/>
      <c r="G54" s="804" t="n"/>
    </row>
    <row r="55" ht="31" customHeight="1" s="254">
      <c r="A55" s="781" t="inlineStr">
        <is>
          <t>Interval data available from the utility?</t>
        </is>
      </c>
      <c r="B55" s="807" t="n"/>
      <c r="C55" s="792" t="inlineStr">
        <is>
          <t>Lets the subscription be trued up after two quarters</t>
        </is>
      </c>
      <c r="D55" s="804" t="n"/>
      <c r="E55" s="804" t="n"/>
      <c r="F55" s="804" t="n"/>
      <c r="G55" s="804" t="n"/>
    </row>
    <row r="56" ht="81" customHeight="1" s="254">
      <c r="A56" s="781" t="inlineStr">
        <is>
          <t>Annual tariff escalation</t>
        </is>
      </c>
      <c r="B56" s="887" t="n">
        <v>0</v>
      </c>
      <c r="C56" s="792" t="inlineStr">
        <is>
          <t>Applied to the demand and block rates year by year in the model. Zero holds the tariff flat for the whole horizon, which no utility has ever done — enter the utility's adopted or proposed path where there is one.</t>
        </is>
      </c>
      <c r="D56" s="804" t="n"/>
      <c r="E56" s="804" t="n"/>
      <c r="F56" s="804" t="n"/>
      <c r="G56" s="804" t="n"/>
    </row>
    <row r="57" ht="33.5" customHeight="1" s="254">
      <c r="A57" s="798" t="inlineStr">
        <is>
          <t>Revenue basis — greenfield benchmark or historical actuals</t>
        </is>
      </c>
      <c r="B57" s="804" t="n"/>
      <c r="C57" s="804" t="n"/>
      <c r="D57" s="804" t="n"/>
      <c r="E57" s="804" t="n"/>
      <c r="F57" s="804" t="n"/>
      <c r="G57" s="804" t="n"/>
    </row>
    <row r="58" hidden="1" outlineLevel="1" ht="31" customHeight="1" s="254">
      <c r="A58" s="816"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31" customHeight="1" s="254">
      <c r="A59" s="781" t="inlineStr">
        <is>
          <t>Revenue basis</t>
        </is>
      </c>
      <c r="B59" s="807" t="inlineStr">
        <is>
          <t>Historical actuals — replacement site</t>
        </is>
      </c>
      <c r="C59" s="816" t="inlineStr">
        <is>
          <t>Switch to historical actuals on any site with twelve or more months of usable data.</t>
        </is>
      </c>
      <c r="E59" s="804" t="n"/>
      <c r="F59" s="804" t="n"/>
      <c r="G59" s="804" t="n"/>
    </row>
    <row r="60" hidden="1" outlineLevel="1" ht="16" customHeight="1" s="254">
      <c r="A60" s="811" t="n"/>
      <c r="B60" s="804" t="n"/>
      <c r="C60" s="804" t="n"/>
      <c r="D60" s="804" t="n"/>
      <c r="E60" s="804" t="n"/>
      <c r="F60" s="804" t="n"/>
      <c r="G60" s="804" t="n"/>
    </row>
    <row r="61" hidden="1" outlineLevel="1" ht="16" customHeight="1" s="254">
      <c r="A61" s="781" t="inlineStr">
        <is>
          <t>Months of history available</t>
        </is>
      </c>
      <c r="B61" s="826">
        <f>Existing!$B$104</f>
        <v/>
      </c>
      <c r="C61" s="816" t="inlineStr">
        <is>
          <t>From the Existing tab section E.</t>
        </is>
      </c>
      <c r="D61" s="804" t="n"/>
      <c r="E61" s="804" t="n"/>
      <c r="F61" s="804" t="n"/>
      <c r="G61" s="804" t="n"/>
    </row>
    <row r="62" hidden="1" outlineLevel="1" ht="16" customHeight="1" s="254">
      <c r="A62" s="781" t="inlineStr">
        <is>
          <t>Historical kWh per year</t>
        </is>
      </c>
      <c r="B62" s="826">
        <f>Existing!$B$112</f>
        <v/>
      </c>
      <c r="C62" s="804" t="n"/>
      <c r="D62" s="804" t="n"/>
      <c r="E62" s="804" t="n"/>
      <c r="F62" s="804" t="n"/>
      <c r="G62" s="804" t="n"/>
    </row>
    <row r="63" hidden="1" outlineLevel="1" ht="16" customHeight="1" s="254">
      <c r="A63" s="781" t="inlineStr">
        <is>
          <t>Combined uplift multiple</t>
        </is>
      </c>
      <c r="B63" s="920">
        <f>Existing!$B$155</f>
        <v/>
      </c>
      <c r="C63" s="804" t="n"/>
      <c r="D63" s="804" t="n"/>
      <c r="E63" s="804" t="n"/>
      <c r="F63" s="804" t="n"/>
      <c r="G63" s="804" t="n"/>
    </row>
    <row r="64" hidden="1" outlineLevel="1" ht="31" customHeight="1" s="254">
      <c r="A64" s="794" t="inlineStr">
        <is>
          <t>Projected kWh per year — replacement basis</t>
        </is>
      </c>
      <c r="B64" s="828">
        <f>Existing!$B$156</f>
        <v/>
      </c>
      <c r="C64" s="816" t="inlineStr">
        <is>
          <t>History times the stated uplifts. This is what the model uses when the basis above is set to historical actuals.</t>
        </is>
      </c>
      <c r="E64" s="804" t="n"/>
      <c r="F64" s="804" t="n"/>
      <c r="G64" s="804" t="n"/>
    </row>
    <row r="65" hidden="1" outlineLevel="1" ht="16" customHeight="1" s="254">
      <c r="A65" s="811" t="n"/>
      <c r="B65" s="804" t="n"/>
      <c r="C65" s="804" t="n"/>
      <c r="D65" s="804" t="n"/>
      <c r="E65" s="804" t="n"/>
      <c r="F65" s="804" t="n"/>
      <c r="G65" s="804" t="n"/>
    </row>
    <row r="66" hidden="1" outlineLevel="1" ht="31" customHeight="1" s="254">
      <c r="A66" s="794" t="inlineStr">
        <is>
          <t>Which basis is in force?</t>
        </is>
      </c>
      <c r="B66" s="822">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816" t="inlineStr">
        <is>
          <t>A replacement site running on market benchmarks is throwing away its best evidence.</t>
        </is>
      </c>
    </row>
    <row r="67" hidden="1" outlineLevel="1" ht="31" customHeight="1" s="254">
      <c r="A67" s="794" t="inlineStr">
        <is>
          <t>Historical price against the proposed price</t>
        </is>
      </c>
      <c r="B67" s="822">
        <f>IF(Existing!$B$116=0,"no history entered","History "&amp;TEXT(Existing!$B$116,"$0.000")&amp;" vs proposed "&amp;TEXT($B$5,"$0.000")&amp;" — "&amp;TEXT(IF(Existing!$B$116=0,0,$B$5/Existing!$B$116-1),"+0.0%;-0.0%"))</f>
        <v/>
      </c>
      <c r="C67" s="299" t="n"/>
      <c r="D67" s="816" t="inlineStr">
        <is>
          <t>A large price increase on a site with a settled driver base is a demand risk, not a revenue gain.</t>
        </is>
      </c>
    </row>
    <row r="68" hidden="1" outlineLevel="1" ht="31" customHeight="1" s="254">
      <c r="A68" s="794" t="inlineStr">
        <is>
          <t>Historical delivered cost against the tariff estimate</t>
        </is>
      </c>
      <c r="B68" s="822">
        <f>IF(Existing!$B$117=0,"no history entered","Twelve months of billing says "&amp;TEXT(Existing!$B$117,"$0.0000")&amp;" all-in. Use it in preference to any tariff estimate.")</f>
        <v/>
      </c>
      <c r="C68" s="299" t="n"/>
      <c r="D68" s="816" t="inlineStr">
        <is>
          <t>Actual billing beats a tariff lookup every time. This is the number to carry into the model.</t>
        </is>
      </c>
    </row>
    <row r="69" hidden="1" outlineLevel="1" ht="16" customHeight="1" s="254">
      <c r="A69" s="811" t="n"/>
      <c r="B69" s="804" t="n"/>
      <c r="C69" s="804" t="n"/>
      <c r="D69" s="804" t="n"/>
      <c r="E69" s="804" t="n"/>
      <c r="F69" s="804" t="n"/>
      <c r="G69" s="804" t="n"/>
    </row>
    <row r="70" hidden="1" outlineLevel="1" ht="43.5" customHeight="1" s="254">
      <c r="A70" s="823"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6" customHeight="1" s="254">
      <c r="A71" s="811" t="n"/>
      <c r="B71" s="804" t="n"/>
      <c r="C71" s="804" t="n"/>
      <c r="D71" s="804" t="n"/>
      <c r="E71" s="804" t="n"/>
      <c r="F71" s="804" t="n"/>
      <c r="G71" s="804" t="n"/>
    </row>
    <row r="72" ht="33.5" customHeight="1" s="254">
      <c r="A72" s="798" t="inlineStr">
        <is>
          <t>STEADY-STATE PROJECTION — the greenfield basis, computed here</t>
        </is>
      </c>
      <c r="B72" s="804" t="n"/>
      <c r="C72" s="804" t="n"/>
      <c r="D72" s="804" t="n"/>
      <c r="E72" s="804" t="n"/>
      <c r="F72" s="804" t="n"/>
      <c r="G72" s="804" t="n"/>
    </row>
    <row r="73" hidden="1" outlineLevel="1" ht="31" customHeight="1" s="254">
      <c r="A73" s="921" t="inlineStr">
        <is>
          <t>The model used to compute this downstream, which meant nothing on this sheet could test it. It is computed here so the market cross-check on the Existing tab has something to read on a site with no history.</t>
        </is>
      </c>
      <c r="E73" s="804" t="n"/>
      <c r="F73" s="804" t="n"/>
      <c r="G73" s="804" t="n"/>
    </row>
    <row r="74" hidden="1" outlineLevel="1" ht="43.5" customHeight="1" s="254">
      <c r="A74" s="781" t="inlineStr">
        <is>
          <t>Power per position (kW)</t>
        </is>
      </c>
      <c r="B74" s="922">
        <f>IF(N(Equipment!$B$22-$B$107)=0,0,Equipment!$B$26/(Equipment!$B$22-$B$107))</f>
        <v/>
      </c>
      <c r="C74" s="814" t="inlineStr">
        <is>
          <t>DC positions only: DC output over DC connectors. Level 2 has its own block at the foot of this tab.</t>
        </is>
      </c>
      <c r="D74" s="804" t="n"/>
      <c r="E74" s="804" t="n"/>
      <c r="F74" s="804" t="n"/>
      <c r="G74" s="804" t="n"/>
    </row>
    <row r="75" hidden="1" outlineLevel="1" ht="16" customHeight="1" s="254">
      <c r="A75" s="781" t="inlineStr">
        <is>
          <t>Average delivered power (kW)</t>
        </is>
      </c>
      <c r="B75" s="922">
        <f>$B$74*$B$15*$B$16</f>
        <v/>
      </c>
      <c r="C75" s="814" t="inlineStr">
        <is>
          <t>De-rated, then tapered</t>
        </is>
      </c>
      <c r="D75" s="804" t="n"/>
      <c r="E75" s="804" t="n"/>
      <c r="F75" s="804" t="n"/>
      <c r="G75" s="804" t="n"/>
    </row>
    <row r="76" hidden="1" outlineLevel="1" ht="16" customHeight="1" s="254">
      <c r="A76" s="781" t="inlineStr">
        <is>
          <t>Charging stall-hours per day</t>
        </is>
      </c>
      <c r="B76" s="923">
        <f>(Equipment!$B$22-$B$107)*$B$13*$B$12*$B$14</f>
        <v/>
      </c>
      <c r="C76" s="814" t="inlineStr">
        <is>
          <t>DC positions only.</t>
        </is>
      </c>
      <c r="D76" s="804" t="n"/>
      <c r="E76" s="804" t="n"/>
      <c r="F76" s="804" t="n"/>
      <c r="G76" s="804" t="n"/>
    </row>
    <row r="77" hidden="1" outlineLevel="1" ht="31" customHeight="1" s="254">
      <c r="A77" s="781" t="inlineStr">
        <is>
          <t>Steady-state kWh per day</t>
        </is>
      </c>
      <c r="B77" s="918">
        <f>$B$76*$B$75+$B$112</f>
        <v/>
      </c>
      <c r="C77" s="814" t="inlineStr">
        <is>
          <t>DC stream plus the Level 2 stream from the block at the foot of this tab.</t>
        </is>
      </c>
      <c r="D77" s="804" t="n"/>
      <c r="E77" s="804" t="n"/>
      <c r="F77" s="804" t="n"/>
      <c r="G77" s="804" t="n"/>
    </row>
    <row r="78" hidden="1" outlineLevel="1" ht="16" customHeight="1" s="254">
      <c r="A78" s="781" t="inlineStr">
        <is>
          <t>Steady-state kWh per year</t>
        </is>
      </c>
      <c r="B78" s="918">
        <f>$B$77*365</f>
        <v/>
      </c>
      <c r="C78" s="804" t="n"/>
      <c r="D78" s="804" t="n"/>
      <c r="E78" s="804" t="n"/>
      <c r="F78" s="804" t="n"/>
      <c r="G78" s="804" t="n"/>
    </row>
    <row r="79" hidden="1" outlineLevel="1" ht="16" customHeight="1" s="254">
      <c r="A79" s="811" t="n"/>
      <c r="B79" s="804" t="n"/>
      <c r="C79" s="804" t="n"/>
      <c r="D79" s="804" t="n"/>
      <c r="E79" s="804" t="n"/>
      <c r="F79" s="804" t="n"/>
      <c r="G79" s="804" t="n"/>
    </row>
    <row r="80" ht="33.5" customHeight="1" s="254">
      <c r="A80" s="798" t="inlineStr">
        <is>
          <t>Tariff provenance and rate-entry checks</t>
        </is>
      </c>
      <c r="B80" s="804" t="n"/>
      <c r="C80" s="804" t="n"/>
      <c r="D80" s="804" t="n"/>
      <c r="E80" s="804" t="n"/>
      <c r="F80" s="804" t="n"/>
      <c r="G80" s="804" t="n"/>
    </row>
    <row r="81" ht="31" customHeight="1" s="254">
      <c r="A81" s="814" t="inlineStr">
        <is>
          <t>Every revenue figure in the model rests on the rate figures above. This block records how much weight they can carry, and the proposal prints it at the point of use rather than in a risk register nobody reads.</t>
        </is>
      </c>
    </row>
    <row r="82" ht="31" customHeight="1" s="254">
      <c r="A82" s="781" t="inlineStr">
        <is>
          <t>Source of the rate figures</t>
        </is>
      </c>
      <c r="B82" s="807" t="inlineStr">
        <is>
          <t>SCE TOU-EV rate fact sheet, July 2025</t>
        </is>
      </c>
      <c r="C82" s="814" t="inlineStr">
        <is>
          <t>Where each $/kWh and fixed charge came from — a filed tariff sheet, a rate insert, a bill, or a phone call. Name it. The proposal prints this.</t>
        </is>
      </c>
    </row>
    <row r="83" ht="31" customHeight="1" s="254">
      <c r="A83" s="781" t="inlineStr">
        <is>
          <t>Verified against the filed tariff sheets?</t>
        </is>
      </c>
      <c r="B83" s="807" t="inlineStr">
        <is>
          <t>No</t>
        </is>
      </c>
      <c r="C83" s="814" t="inlineStr">
        <is>
          <t>Yes / No. "No" is a perfectly good answer and the proposal will say so at the point of use; what is not acceptable is nobody knowing.</t>
        </is>
      </c>
    </row>
    <row r="84" ht="16" customHeight="1" s="254">
      <c r="A84" s="781" t="inlineStr">
        <is>
          <t>Verified by / date</t>
        </is>
      </c>
      <c r="B84" s="807" t="inlineStr">
        <is>
          <t>VP · 2026-09-01</t>
        </is>
      </c>
      <c r="C84" s="814" t="inlineStr">
        <is>
          <t>Who checked it, and when.</t>
        </is>
      </c>
      <c r="D84" s="804" t="n"/>
      <c r="E84" s="804" t="n"/>
      <c r="F84" s="804" t="n"/>
      <c r="G84" s="804" t="n"/>
    </row>
    <row r="85" ht="43.5" customHeight="1" s="254">
      <c r="A85" s="781" t="inlineStr">
        <is>
          <t>Demand-schedule eligibility threshold</t>
        </is>
      </c>
      <c r="B85" s="807" t="n"/>
      <c r="C85" s="814" t="inlineStr">
        <is>
          <t>If this utility moves a customer onto a demand schedule above some monthly consumption, record the threshold and its units here. Leave blank if unknown — blank prints as unconfirmed, which is honest. A figure typed from memory is not.</t>
        </is>
      </c>
    </row>
    <row r="86" ht="31" customHeight="1" s="254">
      <c r="A86" s="781" t="inlineStr">
        <is>
          <t>Would this site cross that threshold?</t>
        </is>
      </c>
      <c r="B86" s="807" t="n"/>
      <c r="C86" s="814" t="inlineStr">
        <is>
          <t>Against the steady-state projection at the foot of this tab. If yes, the tariff behind every revenue figure in the model is the wrong one.</t>
        </is>
      </c>
    </row>
    <row r="87" ht="31" customHeight="1" s="254">
      <c r="A87" s="781" t="inlineStr">
        <is>
          <t>Time-of-use shares entered?</t>
        </is>
      </c>
      <c r="B87" s="830">
        <f>IF(COUNT($B$38:$B$40)=0,"none entered — correct on a flat schedule",IF(ROUND(SUM($B$38:$B$40),4)&lt;&gt;1,"THE THREE SHARES DO NOT SUM TO 100%","ok"))</f>
        <v/>
      </c>
      <c r="C87" s="814" t="inlineStr">
        <is>
          <t>Blank on a flat schedule is the right answer. A split that does not sum to 100% is not.</t>
        </is>
      </c>
      <c r="E87" s="804" t="n"/>
      <c r="F87" s="804" t="n"/>
      <c r="G87" s="804" t="n"/>
    </row>
    <row r="88" ht="16" customHeight="1" s="254">
      <c r="A88" s="811" t="n"/>
      <c r="B88" s="804" t="n"/>
      <c r="C88" s="804" t="n"/>
      <c r="D88" s="804" t="n"/>
      <c r="E88" s="804" t="n"/>
      <c r="F88" s="804" t="n"/>
      <c r="G88" s="804" t="n"/>
    </row>
    <row r="89" ht="33.5" customHeight="1" s="254">
      <c r="A89" s="798" t="inlineStr">
        <is>
          <t>Tariff figures — the bill, decomposed</t>
        </is>
      </c>
      <c r="B89" s="804" t="n"/>
      <c r="C89" s="804" t="n"/>
      <c r="D89" s="804" t="n"/>
      <c r="E89" s="804" t="n"/>
      <c r="F89" s="804" t="n"/>
      <c r="G89" s="804" t="n"/>
    </row>
    <row r="90" hidden="1" outlineLevel="1" ht="31" customHeight="1" s="254">
      <c r="A90" s="814" t="inlineStr">
        <is>
          <t>One row per component of the bill, so a demand charge cannot hide inside a blended cents-per-kWh figure. Take them from the schedule row in the RateLibrary tab.</t>
        </is>
      </c>
    </row>
    <row r="91" hidden="1" outlineLevel="1" ht="31" customHeight="1" s="254">
      <c r="A91" s="781" t="inlineStr">
        <is>
          <t>Volumetric energy cost ($/kWh)</t>
        </is>
      </c>
      <c r="B91" s="924" t="n">
        <v>0.28</v>
      </c>
      <c r="C91" s="814" t="inlineStr">
        <is>
          <t>The per-kWh charge on the chosen schedule, before fixed and demand charges.</t>
        </is>
      </c>
      <c r="E91" s="804" t="n"/>
      <c r="F91" s="804" t="n"/>
      <c r="G91" s="804" t="n"/>
    </row>
    <row r="92" hidden="1" outlineLevel="1" ht="16" customHeight="1" s="254">
      <c r="A92" s="781" t="inlineStr">
        <is>
          <t>Customer charge ($/month)</t>
        </is>
      </c>
      <c r="B92" s="925" t="n">
        <v>701.42</v>
      </c>
      <c r="C92" s="814" t="inlineStr">
        <is>
          <t>The fixed monthly meter charge.</t>
        </is>
      </c>
      <c r="D92" s="804" t="n"/>
      <c r="E92" s="804" t="n"/>
      <c r="F92" s="804" t="n"/>
      <c r="G92" s="804" t="n"/>
    </row>
    <row r="93" hidden="1" outlineLevel="1" ht="31" customHeight="1" s="254">
      <c r="A93" s="781" t="inlineStr">
        <is>
          <t>Demand charge ($/kW-month)</t>
        </is>
      </c>
      <c r="B93" s="925" t="n">
        <v>0</v>
      </c>
      <c r="C93" s="814" t="inlineStr">
        <is>
          <t>Zero on a schedule with no demand charge. This is the figure that decides whether a fast charging site works: at low load factor a demand charge can cost more than all the energy.</t>
        </is>
      </c>
    </row>
    <row r="94" hidden="1" outlineLevel="1" ht="31" customHeight="1" s="254">
      <c r="A94" s="781" t="inlineStr">
        <is>
          <t>Billing demand assumed (kW)</t>
        </is>
      </c>
      <c r="B94" s="831" t="n"/>
      <c r="C94" s="814" t="inlineStr">
        <is>
          <t>What the meter will see as the monthly maximum. Full nameplate unless load management caps it. Every kW here costs the demand charge above, twelve times a year.</t>
        </is>
      </c>
    </row>
    <row r="95" hidden="1" outlineLevel="1" ht="56" customHeight="1" s="254">
      <c r="A95" s="781" t="inlineStr">
        <is>
          <t>Annual fixed and demand cost ($/yr)</t>
        </is>
      </c>
      <c r="B95" s="926">
        <f>12*(N($B$92)+N($B$93)*N($B$94))+N($B$102)</f>
        <v/>
      </c>
      <c r="C95" s="8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6" customHeight="1" s="254">
      <c r="A96" s="811" t="n"/>
      <c r="B96" s="804" t="n"/>
      <c r="C96" s="804" t="n"/>
      <c r="D96" s="804" t="n"/>
      <c r="E96" s="804" t="n"/>
      <c r="F96" s="804" t="n"/>
      <c r="G96" s="804" t="n"/>
    </row>
    <row r="97" ht="31" customHeight="1" s="254">
      <c r="A97" s="802" t="inlineStr">
        <is>
          <t>DEMAND SUBSCRIPTION — WHAT THE RAMP ABOVE COSTS</t>
        </is>
      </c>
      <c r="B97" s="804" t="n"/>
      <c r="C97" s="804" t="n"/>
      <c r="D97" s="804" t="n"/>
      <c r="E97" s="804" t="n"/>
      <c r="F97" s="804" t="n"/>
      <c r="G97" s="804" t="n"/>
    </row>
    <row r="98" hidden="1" outlineLevel="1" ht="43.5" customHeight="1" s="254">
      <c r="A98" s="814"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3.5" customHeight="1" s="254">
      <c r="A99" s="781" t="inlineStr">
        <is>
          <t>Subscription block size (kW)</t>
        </is>
      </c>
      <c r="B99" s="918">
        <f>IFERROR(SUMIFS(RateLibrary!$J$5:$J$74,RateLibrary!$A$5:$A$74,$B$35,RateLibrary!$B$5:$B$74,$B$36),0)</f>
        <v/>
      </c>
      <c r="C99" s="814" t="inlineStr">
        <is>
          <t>From the rate library row for this utility and schedule. Zero means the library has no block size for it — not that the schedule has no blocks.</t>
        </is>
      </c>
      <c r="E99" s="804" t="n"/>
      <c r="F99" s="804" t="n"/>
      <c r="G99" s="804" t="n"/>
    </row>
    <row r="100" hidden="1" outlineLevel="1" ht="31" customHeight="1" s="254">
      <c r="A100" s="781" t="inlineStr">
        <is>
          <t>Subscription block price ($/block/month)</t>
        </is>
      </c>
      <c r="B100" s="913">
        <f>IFERROR(SUMIFS(RateLibrary!$K$5:$K$74,RateLibrary!$A$5:$A$74,$B$35,RateLibrary!$B$5:$B$74,$B$36),0)</f>
        <v/>
      </c>
      <c r="C100" s="814" t="inlineStr">
        <is>
          <t>From the same library row.</t>
        </is>
      </c>
      <c r="D100" s="804" t="n"/>
      <c r="E100" s="804" t="n"/>
      <c r="F100" s="804" t="n"/>
      <c r="G100" s="804" t="n"/>
    </row>
    <row r="101" hidden="1" outlineLevel="1" ht="31" customHeight="1" s="254">
      <c r="A101" s="781" t="inlineStr">
        <is>
          <t>Blocks subscribed</t>
        </is>
      </c>
      <c r="B101" s="918">
        <f>IF(OR(N($B$99)=0,N($B$42)=0),0,ROUNDUP($B$42/$B$99,0))</f>
        <v/>
      </c>
      <c r="C101" s="814" t="inlineStr">
        <is>
          <t>Subscribed kW over the block size, rounded up.</t>
        </is>
      </c>
      <c r="D101" s="804" t="n"/>
      <c r="E101" s="804" t="n"/>
      <c r="F101" s="804" t="n"/>
      <c r="G101" s="804" t="n"/>
    </row>
    <row r="102" hidden="1" outlineLevel="1" ht="31" customHeight="1" s="254">
      <c r="A102" s="781" t="inlineStr">
        <is>
          <t>Subscription cost ($/yr)</t>
        </is>
      </c>
      <c r="B102" s="913">
        <f>N($B$101)*N($B$100)*12</f>
        <v/>
      </c>
      <c r="C102" s="814" t="inlineStr">
        <is>
          <t>Blocks times the block price times twelve. This is the line that decides whether a high-capacity, low-utilisation site works.</t>
        </is>
      </c>
      <c r="E102" s="804" t="n"/>
      <c r="F102" s="804" t="n"/>
      <c r="G102" s="804" t="n"/>
    </row>
    <row r="103" hidden="1" outlineLevel="1" ht="43.5" customHeight="1" s="254">
      <c r="A103" s="781" t="inlineStr">
        <is>
          <t>Subscription cost basis</t>
        </is>
      </c>
      <c r="B103" s="927">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814" t="inlineStr">
        <is>
          <t>If this reads UNPRICED, check the rate library row for the schedule named above BEFORE asking the utility for figures — a lookup pointing at the wrong cell returns zero exactly the same way a missing library row does.</t>
        </is>
      </c>
      <c r="F103" s="804" t="n"/>
      <c r="G103" s="804" t="n"/>
    </row>
    <row r="104" hidden="1" outlineLevel="1" ht="16" customHeight="1" s="254">
      <c r="A104" s="811" t="n"/>
      <c r="B104" s="804" t="n"/>
      <c r="C104" s="804" t="n"/>
      <c r="D104" s="804" t="n"/>
      <c r="E104" s="804" t="n"/>
      <c r="F104" s="804" t="n"/>
      <c r="G104" s="804" t="n"/>
    </row>
    <row r="105" ht="33.5" customHeight="1" s="254">
      <c r="A105" s="798" t="inlineStr">
        <is>
          <t>LEVEL 2 STREAM — on its own physics</t>
        </is>
      </c>
      <c r="B105" s="804" t="n"/>
      <c r="C105" s="804" t="n"/>
      <c r="D105" s="804" t="n"/>
      <c r="E105" s="804" t="n"/>
      <c r="F105" s="804" t="n"/>
      <c r="G105" s="804" t="n"/>
    </row>
    <row r="106" ht="68.5" customHeight="1" s="254">
      <c r="A106" s="9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804" t="n"/>
      <c r="F106" s="804" t="n"/>
      <c r="G106" s="804" t="n"/>
    </row>
    <row r="107" ht="31" customHeight="1" s="254">
      <c r="A107" s="781" t="inlineStr">
        <is>
          <t>Level 2 positions</t>
        </is>
      </c>
      <c r="B107" s="918">
        <f>SUMPRODUCT((Equipment!$E$7:$E$18="level_2")*Equipment!$H$7:$H$18*Equipment!$I$7:$I$18)</f>
        <v/>
      </c>
      <c r="C107" s="814" t="inlineStr">
        <is>
          <t>Connectors on Level 2 units, from the Equipment tab.</t>
        </is>
      </c>
      <c r="D107" s="804" t="n"/>
      <c r="E107" s="804" t="n"/>
      <c r="F107" s="804" t="n"/>
      <c r="G107" s="804" t="n"/>
    </row>
    <row r="108" ht="43.5" customHeight="1" s="254">
      <c r="A108" s="781" t="inlineStr">
        <is>
          <t>Power per Level 2 position (kW)</t>
        </is>
      </c>
      <c r="B108" s="923">
        <f>IF(N($B$107)=0,0,SUMPRODUCT((Equipment!$E$7:$E$18="level_2")*Equipment!$G$7:$G$18*Equipment!$I$7:$I$18)/$B$107)</f>
        <v/>
      </c>
      <c r="C108" s="814" t="inlineStr">
        <is>
          <t>AC input at the Level 2 supply voltage stated on the Equipment tab, per connector.</t>
        </is>
      </c>
      <c r="D108" s="804" t="n"/>
      <c r="E108" s="804" t="n"/>
      <c r="F108" s="804" t="n"/>
      <c r="G108" s="804" t="n"/>
    </row>
    <row r="109" ht="56" customHeight="1" s="254">
      <c r="A109" s="781" t="inlineStr">
        <is>
          <t>Benchmark Level 2 kWh per port per day</t>
        </is>
      </c>
      <c r="B109" s="923">
        <f>IF($B$45="",0,IFERROR(INDEX(BM_L2_KWH,MATCH($B$45,BM_L2_STATE,0)),0))</f>
        <v/>
      </c>
      <c r="C109" s="814" t="inlineStr">
        <is>
          <t>From the Level 2 market table on RefData for the state chosen above. Zero means no state was chosen or the state has no Level 2 row.</t>
        </is>
      </c>
      <c r="D109" s="804" t="n"/>
      <c r="E109" s="804" t="n"/>
      <c r="F109" s="804" t="n"/>
      <c r="G109" s="804" t="n"/>
    </row>
    <row r="110" ht="81" customHeight="1" s="254">
      <c r="A110" s="781" t="inlineStr">
        <is>
          <t>Level 2 kWh per port per day — site override</t>
        </is>
      </c>
      <c r="B110" s="928" t="n"/>
      <c r="C110" s="814" t="inlineStr">
        <is>
          <t>Leave blank to project at the benchmark. Enter a figure only with a reason the proposal can print: metered history on this site, or a host type with overnight dwell. The row below says which is in force.</t>
        </is>
      </c>
      <c r="D110" s="804" t="n"/>
      <c r="E110" s="804" t="n"/>
      <c r="F110" s="804" t="n"/>
      <c r="G110" s="804" t="n"/>
    </row>
    <row r="111" ht="16" customHeight="1" s="254">
      <c r="A111" s="781" t="inlineStr">
        <is>
          <t>Level 2 kWh per port per day in force</t>
        </is>
      </c>
      <c r="B111" s="923">
        <f>IF(N($B$110)&gt;0,$B$110,$B$109)</f>
        <v/>
      </c>
      <c r="C111" s="929" t="inlineStr"/>
      <c r="D111" s="804" t="n"/>
      <c r="E111" s="804" t="n"/>
      <c r="F111" s="804" t="n"/>
      <c r="G111" s="804" t="n"/>
    </row>
    <row r="112" ht="43.5" customHeight="1" s="254">
      <c r="A112" s="781" t="inlineStr">
        <is>
          <t>Level 2 kWh per day</t>
        </is>
      </c>
      <c r="B112" s="918">
        <f>$B$107*$B$111</f>
        <v/>
      </c>
      <c r="C112" s="814" t="inlineStr">
        <is>
          <t>Site total. The model engine reads this row; the Carbon tab derives the consumption credit from it.</t>
        </is>
      </c>
      <c r="D112" s="804" t="n"/>
      <c r="E112" s="804" t="n"/>
      <c r="F112" s="804" t="n"/>
      <c r="G112" s="804" t="n"/>
    </row>
    <row r="113" ht="31" customHeight="1" s="254">
      <c r="A113" s="781" t="inlineStr">
        <is>
          <t>Level 2 site factor against the benchmark</t>
        </is>
      </c>
      <c r="B113" s="930">
        <f>IF(N($B$109)=0,0,$B$111/$B$109)</f>
        <v/>
      </c>
      <c r="C113" s="814" t="inlineStr">
        <is>
          <t>Above 100% means this site is assumed to beat the average public Level 2 port.</t>
        </is>
      </c>
      <c r="D113" s="804" t="n"/>
      <c r="E113" s="804" t="n"/>
      <c r="F113" s="804" t="n"/>
      <c r="G113" s="804" t="n"/>
    </row>
    <row r="114" ht="16" customHeight="1" s="254">
      <c r="A114" s="781" t="inlineStr">
        <is>
          <t>Level 2 basis</t>
        </is>
      </c>
      <c r="B114" s="927">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929" t="n"/>
      <c r="D114" s="804" t="n"/>
      <c r="E114" s="804" t="n"/>
      <c r="F114" s="804" t="n"/>
      <c r="G114" s="804" t="n"/>
    </row>
    <row r="115" ht="31" customHeight="1" s="254">
      <c r="A115" s="781" t="inlineStr">
        <is>
          <t>Average concurrent DC positions</t>
        </is>
      </c>
      <c r="B115" s="923">
        <f>$B$76/24</f>
        <v/>
      </c>
      <c r="C115" s="814" t="inlineStr">
        <is>
          <t>DC charging stall-hours over twenty-four hours.</t>
        </is>
      </c>
      <c r="D115" s="804" t="n"/>
      <c r="E115" s="804" t="n"/>
      <c r="F115" s="804" t="n"/>
      <c r="G115" s="804" t="n"/>
    </row>
    <row r="116" ht="31" customHeight="1" s="254">
      <c r="A116" s="781" t="inlineStr">
        <is>
          <t>Average concurrent Level 2 positions</t>
        </is>
      </c>
      <c r="B116" s="923">
        <f>IF(N($B$108)*N($B$15)=0,0,$B$112/(24*$B$108*$B$15))</f>
        <v/>
      </c>
      <c r="C116" s="814" t="inlineStr">
        <is>
          <t>Level 2 kWh per day over twenty-four hours of de-rated Level 2 power.</t>
        </is>
      </c>
      <c r="D116" s="804" t="n"/>
      <c r="E116" s="804" t="n"/>
      <c r="F116" s="804" t="n"/>
      <c r="G116" s="804" t="n"/>
    </row>
    <row r="117" ht="31" customHeight="1" s="254">
      <c r="A117" s="781" t="inlineStr">
        <is>
          <t>Average concurrent positions, all streams</t>
        </is>
      </c>
      <c r="B117" s="923">
        <f>$B$115+$B$116</f>
        <v/>
      </c>
      <c r="C117" s="814" t="inlineStr">
        <is>
          <t>What the peak-to-average factor above is applied to.</t>
        </is>
      </c>
      <c r="D117" s="804" t="n"/>
      <c r="E117" s="804" t="n"/>
      <c r="F117" s="804" t="n"/>
      <c r="G117" s="804" t="n"/>
    </row>
  </sheetData>
  <sheetProtection selectLockedCells="0" selectUnlockedCells="0" sheet="1" objects="0" insertRows="1" insertHyperlinks="1" autoFilter="1" scenarios="0" formatColumns="0" deleteColumns="1" insertColumns="1" pivotTables="1" deleteRows="1" formatCells="0" formatRows="0" sort="1"/>
  <mergeCells count="41">
    <mergeCell ref="C83:G83"/>
    <mergeCell ref="C6:D6"/>
    <mergeCell ref="A106:D10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6"/>
    <col width="9" customWidth="1" style="254" min="5" max="5"/>
    <col width="9" customWidth="1" style="254" min="6" max="6"/>
  </cols>
  <sheetData>
    <row r="1" ht="26" customHeight="1" s="254">
      <c r="A1" s="790" t="inlineStr">
        <is>
          <t>7 · CARBON CREDITS AND INCENTIVES</t>
        </is>
      </c>
    </row>
    <row r="2" ht="43.5" customHeight="1" s="254">
      <c r="A2" s="792" t="inlineStr">
        <is>
          <t>The FCI capacity credit is usually the most reliable revenue in the model. Treat its inputs accordingly.</t>
        </is>
      </c>
      <c r="B2" s="804" t="n"/>
      <c r="C2" s="804" t="n"/>
      <c r="D2" s="804" t="n"/>
      <c r="E2" s="804" t="n"/>
      <c r="F2" s="804" t="n"/>
    </row>
    <row r="3" ht="16" customHeight="1" s="254">
      <c r="A3" s="811" t="n"/>
      <c r="B3" s="804" t="n"/>
      <c r="C3" s="804" t="n"/>
      <c r="D3" s="804" t="n"/>
      <c r="E3" s="804" t="n"/>
      <c r="F3" s="804" t="n"/>
    </row>
    <row r="4" ht="19.75" customHeight="1" s="254">
      <c r="A4" s="798" t="inlineStr">
        <is>
          <t>LCFS / FCI capacity credit</t>
        </is>
      </c>
      <c r="B4" s="804" t="n"/>
      <c r="C4" s="804" t="n"/>
      <c r="D4" s="804" t="n"/>
      <c r="E4" s="804" t="n"/>
      <c r="F4" s="804" t="n"/>
    </row>
    <row r="5" ht="31" customHeight="1" s="254">
      <c r="A5" s="781" t="inlineStr">
        <is>
          <t>Site qualifies for FCI capacity credits?</t>
        </is>
      </c>
      <c r="B5" s="799" t="inlineStr">
        <is>
          <t>Yes</t>
        </is>
      </c>
      <c r="C5" s="792" t="inlineStr">
        <is>
          <t>Yes / No / Pending</t>
        </is>
      </c>
      <c r="D5" s="804" t="n"/>
      <c r="E5" s="804" t="n"/>
      <c r="F5" s="804" t="n"/>
    </row>
    <row r="6" ht="16" customHeight="1" s="254">
      <c r="A6" s="781" t="inlineStr">
        <is>
          <t>Permit clears the 1 Jan 2022 test?</t>
        </is>
      </c>
      <c r="B6" s="799" t="inlineStr">
        <is>
          <t>Yes</t>
        </is>
      </c>
      <c r="C6" s="792" t="inlineStr">
        <is>
          <t>Yes / No</t>
        </is>
      </c>
      <c r="D6" s="804" t="n"/>
      <c r="E6" s="804" t="n"/>
      <c r="F6" s="804" t="n"/>
    </row>
    <row r="7" ht="16" customHeight="1" s="254">
      <c r="A7" s="781" t="inlineStr">
        <is>
          <t>Application filed?</t>
        </is>
      </c>
      <c r="B7" s="799" t="inlineStr">
        <is>
          <t>No</t>
        </is>
      </c>
      <c r="C7" s="792" t="inlineStr">
        <is>
          <t>Yes / No — with date</t>
        </is>
      </c>
      <c r="D7" s="804" t="n"/>
      <c r="E7" s="804" t="n"/>
      <c r="F7" s="804" t="n"/>
    </row>
    <row r="8" ht="16" customHeight="1" s="254">
      <c r="A8" s="781" t="inlineStr">
        <is>
          <t>Registered aggregator</t>
        </is>
      </c>
      <c r="B8" s="799" t="inlineStr">
        <is>
          <t>Registered aggregator LLC</t>
        </is>
      </c>
      <c r="C8" s="804" t="n"/>
      <c r="D8" s="804" t="n"/>
      <c r="E8" s="804" t="n"/>
      <c r="F8" s="804" t="n"/>
    </row>
    <row r="9" ht="31" customHeight="1" s="254">
      <c r="A9" s="781" t="inlineStr">
        <is>
          <t>Aggregator share of credit value</t>
        </is>
      </c>
      <c r="B9" s="887" t="n">
        <v>0.05</v>
      </c>
      <c r="C9" s="792" t="inlineStr">
        <is>
          <t>Third-party administrator. Not our scope — a deduction from proceeds, disclosed as a cost.</t>
        </is>
      </c>
      <c r="E9" s="804" t="n"/>
      <c r="F9" s="804" t="n"/>
    </row>
    <row r="10" ht="16" customHeight="1" s="254">
      <c r="A10" s="781" t="inlineStr">
        <is>
          <t>FCI credit rate ($/kW/yr)</t>
        </is>
      </c>
      <c r="B10" s="931" t="n">
        <v>71.66670000000001</v>
      </c>
      <c r="C10" s="792" t="inlineStr">
        <is>
          <t>Confirm with the aggregator in writing</t>
        </is>
      </c>
      <c r="D10" s="804" t="n"/>
      <c r="E10" s="804" t="n"/>
      <c r="F10" s="804" t="n"/>
    </row>
    <row r="11" ht="16" customHeight="1" s="254">
      <c r="A11" s="781" t="inlineStr">
        <is>
          <t>Crediting period (years)</t>
        </is>
      </c>
      <c r="B11" s="817" t="n">
        <v>10</v>
      </c>
      <c r="C11" s="804" t="n"/>
      <c r="D11" s="804" t="n"/>
      <c r="E11" s="804" t="n"/>
      <c r="F11" s="804" t="n"/>
    </row>
    <row r="12" ht="31" customHeight="1" s="254">
      <c r="A12" s="781" t="inlineStr">
        <is>
          <t>Gross capacity credit per year</t>
        </is>
      </c>
      <c r="B12" s="851">
        <f>Equipment!$B$26*B10</f>
        <v/>
      </c>
      <c r="C12" s="792" t="inlineStr">
        <is>
          <t>DC fast-charging capacity only — the FCI credit does not pay on Level 2.</t>
        </is>
      </c>
      <c r="E12" s="804" t="n"/>
      <c r="F12" s="804" t="n"/>
    </row>
    <row r="13" ht="16" customHeight="1" s="254">
      <c r="A13" s="781" t="inlineStr">
        <is>
          <t>Net of aggregator share, per year</t>
        </is>
      </c>
      <c r="B13" s="851">
        <f>B12*(1-B9)</f>
        <v/>
      </c>
      <c r="C13" s="804" t="n"/>
      <c r="D13" s="804" t="n"/>
      <c r="E13" s="804" t="n"/>
      <c r="F13" s="804" t="n"/>
    </row>
    <row r="14" ht="16" customHeight="1" s="254">
      <c r="A14" s="781" t="inlineStr">
        <is>
          <t>Gross across crediting period</t>
        </is>
      </c>
      <c r="B14" s="851">
        <f>B12*B11</f>
        <v/>
      </c>
      <c r="C14" s="804" t="n"/>
      <c r="D14" s="804" t="n"/>
      <c r="E14" s="804" t="n"/>
      <c r="F14" s="804" t="n"/>
    </row>
    <row r="15" ht="16" customHeight="1" s="254">
      <c r="A15" s="811" t="n"/>
      <c r="B15" s="804" t="n"/>
      <c r="C15" s="804" t="n"/>
      <c r="D15" s="804" t="n"/>
      <c r="E15" s="804" t="n"/>
      <c r="F15" s="804" t="n"/>
    </row>
    <row r="16" ht="19.75" customHeight="1" s="254">
      <c r="A16" s="798" t="inlineStr">
        <is>
          <t>Consumption credits (Level 2)</t>
        </is>
      </c>
      <c r="B16" s="804" t="n"/>
      <c r="C16" s="804" t="n"/>
      <c r="D16" s="804" t="n"/>
      <c r="E16" s="804" t="n"/>
      <c r="F16" s="804" t="n"/>
    </row>
    <row r="17" ht="106" customHeight="1" s="254">
      <c r="A17" s="781" t="inlineStr">
        <is>
          <t>L2 consumption credit ($/kWh)</t>
        </is>
      </c>
      <c r="B17" s="932" t="n">
        <v>0.0045</v>
      </c>
      <c r="C17" s="792"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c r="D17" s="804" t="n"/>
      <c r="E17" s="804" t="n"/>
      <c r="F17" s="804" t="n"/>
    </row>
    <row r="18" ht="43.5" customHeight="1" s="254">
      <c r="A18" s="781" t="inlineStr">
        <is>
          <t>Site-total L2 kWh per day</t>
        </is>
      </c>
      <c r="B18" s="933">
        <f>Revenue!$B$112</f>
        <v/>
      </c>
      <c r="C18" s="792" t="inlineStr">
        <is>
          <t>Derived from the Level 2 stream on the Revenue tab. It used to be typed here as well, and on the first all-Level-2 site it was left blank.</t>
        </is>
      </c>
      <c r="D18" s="804" t="n"/>
      <c r="E18" s="804" t="n"/>
      <c r="F18" s="804" t="n"/>
    </row>
    <row r="19" ht="16" customHeight="1" s="254">
      <c r="A19" s="811" t="n"/>
      <c r="B19" s="804" t="n"/>
      <c r="C19" s="804" t="n"/>
      <c r="D19" s="804" t="n"/>
      <c r="E19" s="804" t="n"/>
      <c r="F19" s="804" t="n"/>
    </row>
    <row r="20" ht="19.75" customHeight="1" s="254">
      <c r="A20" s="798" t="inlineStr">
        <is>
          <t>Cap test</t>
        </is>
      </c>
      <c r="B20" s="804" t="n"/>
      <c r="C20" s="804" t="n"/>
      <c r="D20" s="804" t="n"/>
      <c r="E20" s="804" t="n"/>
      <c r="F20" s="804" t="n"/>
    </row>
    <row r="21" hidden="1" outlineLevel="1" ht="16" customHeight="1" s="254">
      <c r="A21" s="781" t="inlineStr">
        <is>
          <t>Cap multiple of net capex</t>
        </is>
      </c>
      <c r="B21" s="919" t="n">
        <v>1.5</v>
      </c>
      <c r="C21" s="792" t="inlineStr">
        <is>
          <t>FCI revenue stops at this multiple</t>
        </is>
      </c>
      <c r="D21" s="804" t="n"/>
      <c r="E21" s="804" t="n"/>
      <c r="F21" s="804" t="n"/>
    </row>
    <row r="22" hidden="1" outlineLevel="1" ht="16" customHeight="1" s="254">
      <c r="A22" s="781" t="inlineStr">
        <is>
          <t>Grants or rebates awarded</t>
        </is>
      </c>
      <c r="B22" s="934" t="n">
        <v>0</v>
      </c>
      <c r="C22" s="792" t="inlineStr">
        <is>
          <t>Reduces net capex and therefore the cap</t>
        </is>
      </c>
      <c r="D22" s="804" t="n"/>
      <c r="E22" s="804" t="n"/>
      <c r="F22" s="804" t="n"/>
    </row>
    <row r="23" hidden="1" outlineLevel="1" ht="16" customHeight="1" s="254">
      <c r="A23" s="811" t="n"/>
      <c r="B23" s="804" t="n"/>
      <c r="C23" s="804" t="n"/>
      <c r="D23" s="804" t="n"/>
      <c r="E23" s="804" t="n"/>
      <c r="F23" s="804" t="n"/>
    </row>
    <row r="24" ht="19.75" customHeight="1" s="254">
      <c r="A24" s="798" t="inlineStr">
        <is>
          <t>Federal and state incentives</t>
        </is>
      </c>
      <c r="B24" s="804" t="n"/>
      <c r="C24" s="804" t="n"/>
      <c r="D24" s="804" t="n"/>
      <c r="E24" s="804" t="n"/>
      <c r="F24" s="804" t="n"/>
    </row>
    <row r="25" ht="16" customHeight="1" s="254">
      <c r="A25" s="781" t="inlineStr">
        <is>
          <t>Federal ITC claimed?</t>
        </is>
      </c>
      <c r="B25" s="799" t="inlineStr">
        <is>
          <t>No</t>
        </is>
      </c>
      <c r="C25" s="792" t="inlineStr">
        <is>
          <t>Sec 30C ended for property in service after 30 Jun 2026</t>
        </is>
      </c>
      <c r="D25" s="804" t="n"/>
      <c r="E25" s="804" t="n"/>
      <c r="F25" s="804" t="n"/>
    </row>
    <row r="26" ht="16" customHeight="1" s="254">
      <c r="A26" s="781" t="inlineStr">
        <is>
          <t>State programme evaluated</t>
        </is>
      </c>
      <c r="B26" s="799" t="inlineStr">
        <is>
          <t>Fast Charge California</t>
        </is>
      </c>
      <c r="C26" s="792" t="inlineStr">
        <is>
          <t>e.g. Fast Charge California — name it even if it does not qualify</t>
        </is>
      </c>
      <c r="E26" s="804" t="n"/>
      <c r="F26" s="804" t="n"/>
    </row>
    <row r="27" ht="16" customHeight="1" s="254">
      <c r="A27" s="781" t="inlineStr">
        <is>
          <t>State programme outcome</t>
        </is>
      </c>
      <c r="B27" s="799" t="inlineStr">
        <is>
          <t>Does not qualify</t>
        </is>
      </c>
      <c r="C27" s="792" t="inlineStr">
        <is>
          <t>Qualifies / Does not qualify / Applied — with the reason</t>
        </is>
      </c>
      <c r="E27" s="804" t="n"/>
      <c r="F27" s="804" t="n"/>
    </row>
    <row r="28" ht="16" customHeight="1" s="254">
      <c r="A28" s="811" t="n"/>
      <c r="B28" s="804" t="n"/>
      <c r="C28" s="804" t="n"/>
      <c r="D28" s="804" t="n"/>
      <c r="E28" s="804" t="n"/>
      <c r="F28" s="804" t="n"/>
    </row>
    <row r="29" ht="19.75" customHeight="1" s="254">
      <c r="A29" s="798" t="inlineStr">
        <is>
          <t>Level 2 credit and consistency</t>
        </is>
      </c>
      <c r="B29" s="804" t="n"/>
      <c r="C29" s="804" t="n"/>
      <c r="D29" s="804" t="n"/>
      <c r="E29" s="804" t="n"/>
      <c r="F29" s="804" t="n"/>
    </row>
    <row r="30" hidden="1" outlineLevel="1" ht="16" customHeight="1" s="254">
      <c r="A30" s="781" t="inlineStr">
        <is>
          <t>Level 2 credit per year (gross)</t>
        </is>
      </c>
      <c r="B30" s="935">
        <f>$B$17*$B$18*365</f>
        <v/>
      </c>
      <c r="C30" s="936" t="inlineStr"/>
      <c r="D30" s="804" t="n"/>
      <c r="E30" s="804" t="n"/>
      <c r="F30" s="804" t="n"/>
    </row>
    <row r="31" hidden="1" outlineLevel="1" ht="31" customHeight="1" s="254">
      <c r="A31" s="781" t="inlineStr">
        <is>
          <t>Level 2 credit per year, net of aggregator share</t>
        </is>
      </c>
      <c r="B31" s="935">
        <f>$B$30*(1-$B$9)</f>
        <v/>
      </c>
      <c r="C31" s="936" t="inlineStr"/>
      <c r="D31" s="804" t="n"/>
      <c r="E31" s="804" t="n"/>
      <c r="F31" s="804" t="n"/>
    </row>
    <row r="32" hidden="1" outlineLevel="1" ht="43.5" customHeight="1" s="254">
      <c r="A32" s="781" t="inlineStr">
        <is>
          <t>FCI answer against the equipment</t>
        </is>
      </c>
      <c r="B32" s="937">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792" t="inlineStr">
        <is>
          <t>The capacity credit is issued on installed DC fast-charging capacity. Level 2 does not qualify, and a Yes here on a Level 2 site used to produce a silent $0.</t>
        </is>
      </c>
      <c r="D32" s="804" t="n"/>
      <c r="E32" s="804" t="n"/>
      <c r="F32" s="804" t="n"/>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5"/>
    <col width="9" customWidth="1" style="254" min="5" max="5"/>
  </cols>
  <sheetData>
    <row r="1" ht="26" customHeight="1" s="254">
      <c r="A1" s="790" t="inlineStr">
        <is>
          <t>8 · DEAL STRUCTURE (OPTIONAL)</t>
        </is>
      </c>
    </row>
    <row r="2" ht="56" customHeight="1" s="254">
      <c r="A2" s="792" t="inlineStr">
        <is>
          <t>Leave every knob at zero for a straight sale. Fill them in only when we are trading price for a share of the upside.</t>
        </is>
      </c>
      <c r="B2" s="804" t="n"/>
      <c r="C2" s="804" t="n"/>
      <c r="D2" s="804" t="n"/>
      <c r="E2" s="804" t="n"/>
    </row>
    <row r="3" ht="16" customHeight="1" s="254">
      <c r="A3" s="811" t="n"/>
      <c r="B3" s="804" t="n"/>
      <c r="C3" s="804" t="n"/>
      <c r="D3" s="804" t="n"/>
      <c r="E3" s="804" t="n"/>
    </row>
    <row r="4" ht="16" customHeight="1" s="254">
      <c r="A4" s="781" t="inlineStr">
        <is>
          <t>•</t>
        </is>
      </c>
      <c r="B4" s="781" t="inlineStr">
        <is>
          <t>This tab is optional. Zero everywhere means a conventional sale and the model runs exactly as it does today.</t>
        </is>
      </c>
    </row>
    <row r="5" ht="31" customHeight="1" s="254">
      <c r="A5" s="781" t="inlineStr">
        <is>
          <t>•</t>
        </is>
      </c>
      <c r="B5" s="781" t="inlineStr">
        <is>
          <t>Use it when we want to lower the client's price in return for keeping part of the carbon credit or the charging revenue.</t>
        </is>
      </c>
    </row>
    <row r="6" ht="31" customHeight="1" s="254">
      <c r="A6" s="781" t="inlineStr">
        <is>
          <t>•</t>
        </is>
      </c>
      <c r="B6" s="781" t="inlineStr">
        <is>
          <t>The model reports both sides — what the client nets and what we net on the capital we put in — so a structure can be judged before it is offered.</t>
        </is>
      </c>
    </row>
    <row r="7" ht="16" customHeight="1" s="254">
      <c r="A7" s="811" t="n"/>
      <c r="B7" s="804" t="n"/>
      <c r="C7" s="804" t="n"/>
      <c r="D7" s="804" t="n"/>
      <c r="E7" s="804" t="n"/>
    </row>
    <row r="8" ht="19.75" customHeight="1" s="254">
      <c r="A8" s="798" t="inlineStr">
        <is>
          <t>What we keep</t>
        </is>
      </c>
      <c r="B8" s="804" t="n"/>
      <c r="C8" s="804" t="n"/>
      <c r="D8" s="804" t="n"/>
      <c r="E8" s="804" t="n"/>
    </row>
    <row r="9" ht="16" customHeight="1" s="254">
      <c r="A9" s="781" t="inlineStr">
        <is>
          <t>Structure name</t>
        </is>
      </c>
      <c r="B9" s="799" t="inlineStr">
        <is>
          <t>Carbon share test</t>
        </is>
      </c>
      <c r="C9" s="792" t="inlineStr">
        <is>
          <t>A label so a reader knows which structure this is</t>
        </is>
      </c>
      <c r="D9" s="804" t="n"/>
      <c r="E9" s="804" t="n"/>
    </row>
    <row r="10" ht="16" customHeight="1" s="254">
      <c r="A10" s="781" t="inlineStr">
        <is>
          <t>Our share of the net carbon credit</t>
        </is>
      </c>
      <c r="B10" s="887" t="n">
        <v>0.5</v>
      </c>
      <c r="C10" s="792" t="inlineStr">
        <is>
          <t>0% = client keeps all of it</t>
        </is>
      </c>
      <c r="D10" s="804" t="n"/>
      <c r="E10" s="804" t="n"/>
    </row>
    <row r="11" ht="16" customHeight="1" s="254">
      <c r="A11" s="781" t="inlineStr">
        <is>
          <t>Our share of charging revenue</t>
        </is>
      </c>
      <c r="B11" s="887" t="n">
        <v>0.1</v>
      </c>
      <c r="C11" s="792" t="inlineStr">
        <is>
          <t>0% = client keeps all of it</t>
        </is>
      </c>
      <c r="D11" s="804" t="n"/>
      <c r="E11" s="804" t="n"/>
    </row>
    <row r="12" ht="16" customHeight="1" s="254">
      <c r="A12" s="781" t="inlineStr">
        <is>
          <t>Revenue share is taken on</t>
        </is>
      </c>
      <c r="B12" s="799" t="inlineStr">
        <is>
          <t>Net charging profit</t>
        </is>
      </c>
      <c r="C12" s="792" t="inlineStr">
        <is>
          <t>Net charging profit / Gross revenue</t>
        </is>
      </c>
      <c r="D12" s="804" t="n"/>
      <c r="E12" s="804" t="n"/>
    </row>
    <row r="13" ht="16" customHeight="1" s="254">
      <c r="A13" s="781" t="inlineStr">
        <is>
          <t>Share runs for (years)</t>
        </is>
      </c>
      <c r="B13" s="831" t="n">
        <v>10</v>
      </c>
      <c r="C13" s="792" t="inlineStr">
        <is>
          <t>Cannot exceed the model horizon</t>
        </is>
      </c>
      <c r="D13" s="804" t="n"/>
      <c r="E13" s="804" t="n"/>
    </row>
    <row r="14" ht="16" customHeight="1" s="254">
      <c r="A14" s="811" t="n"/>
      <c r="B14" s="804" t="n"/>
      <c r="C14" s="804" t="n"/>
      <c r="D14" s="804" t="n"/>
      <c r="E14" s="804" t="n"/>
    </row>
    <row r="15" ht="19.75" customHeight="1" s="254">
      <c r="A15" s="798" t="inlineStr">
        <is>
          <t>What we give in return</t>
        </is>
      </c>
      <c r="B15" s="804" t="n"/>
      <c r="C15" s="804" t="n"/>
      <c r="D15" s="804" t="n"/>
      <c r="E15" s="804" t="n"/>
    </row>
    <row r="16" ht="16" customHeight="1" s="254">
      <c r="A16" s="781" t="inlineStr">
        <is>
          <t>Extra discount on charger hardware</t>
        </is>
      </c>
      <c r="B16" s="887" t="n">
        <v>0.05</v>
      </c>
      <c r="C16" s="792" t="inlineStr">
        <is>
          <t>On top of the discount already in the base price</t>
        </is>
      </c>
      <c r="D16" s="804" t="n"/>
      <c r="E16" s="804" t="n"/>
    </row>
    <row r="17" ht="31" customHeight="1" s="254">
      <c r="A17" s="781" t="inlineStr">
        <is>
          <t>Extra discount on electrical and construction</t>
        </is>
      </c>
      <c r="B17" s="887" t="n">
        <v>0</v>
      </c>
      <c r="C17" s="804" t="n"/>
      <c r="D17" s="804" t="n"/>
      <c r="E17" s="804" t="n"/>
    </row>
    <row r="18" ht="31" customHeight="1" s="254">
      <c r="A18" s="781" t="inlineStr">
        <is>
          <t>Extra discount on service, warranty and network</t>
        </is>
      </c>
      <c r="B18" s="887" t="n">
        <v>0</v>
      </c>
      <c r="C18" s="804" t="n"/>
      <c r="D18" s="804" t="n"/>
      <c r="E18" s="804" t="n"/>
    </row>
    <row r="19" ht="16" customHeight="1" s="254">
      <c r="A19" s="781" t="inlineStr">
        <is>
          <t>Direct capital contribution</t>
        </is>
      </c>
      <c r="B19" s="925" t="n">
        <v>100000</v>
      </c>
      <c r="C19" s="792" t="inlineStr">
        <is>
          <t>Cash or hardware we fund outright</t>
        </is>
      </c>
      <c r="D19" s="804" t="n"/>
      <c r="E19" s="804" t="n"/>
    </row>
    <row r="20" ht="16" customHeight="1" s="254">
      <c r="A20" s="811" t="n"/>
      <c r="B20" s="804" t="n"/>
      <c r="C20" s="804" t="n"/>
      <c r="D20" s="804" t="n"/>
      <c r="E20" s="804" t="n"/>
    </row>
    <row r="21" ht="33.5" customHeight="1" s="254">
      <c r="A21" s="798" t="inlineStr">
        <is>
          <t>Guard rails — the model will report against these</t>
        </is>
      </c>
      <c r="B21" s="804" t="n"/>
      <c r="C21" s="804" t="n"/>
      <c r="D21" s="804" t="n"/>
      <c r="E21" s="804" t="n"/>
    </row>
    <row r="22" ht="16" customHeight="1" s="254">
      <c r="A22" s="781" t="inlineStr">
        <is>
          <t>Minimum acceptable client NPV</t>
        </is>
      </c>
      <c r="B22" s="925" t="n">
        <v>0</v>
      </c>
      <c r="C22" s="792" t="inlineStr">
        <is>
          <t>Below this the structure is not worth offering</t>
        </is>
      </c>
      <c r="D22" s="804" t="n"/>
      <c r="E22" s="804" t="n"/>
    </row>
    <row r="23" ht="31" customHeight="1" s="254">
      <c r="A23" s="781" t="inlineStr">
        <is>
          <t>Minimum acceptable return on our capital</t>
        </is>
      </c>
      <c r="B23" s="938" t="n">
        <v>2</v>
      </c>
      <c r="C23" s="792" t="inlineStr">
        <is>
          <t>Multiple of what we contribute</t>
        </is>
      </c>
      <c r="D23" s="804" t="n"/>
      <c r="E23" s="804" t="n"/>
    </row>
    <row r="24" ht="16" customHeight="1" s="254">
      <c r="A24" s="781" t="inlineStr">
        <is>
          <t>Maximum capital we will contribute</t>
        </is>
      </c>
      <c r="B24" s="807" t="n">
        <v>150000</v>
      </c>
      <c r="C24" s="792" t="inlineStr">
        <is>
          <t>Hard ceiling on our exposure</t>
        </is>
      </c>
      <c r="D24" s="804" t="n"/>
      <c r="E24" s="804" t="n"/>
    </row>
    <row r="25" ht="68.5" customHeight="1" s="254">
      <c r="A25" s="781" t="inlineStr">
        <is>
          <t>Price position</t>
        </is>
      </c>
      <c r="B25" s="807" t="n"/>
      <c r="C25" s="792" t="inlineStr">
        <is>
          <t>What we are doing about the guard rails above, and what would change it. A price held on judgement with no written release trigger is a price that quietly drifts — name the evidence or the event that would move it.</t>
        </is>
      </c>
      <c r="D25" s="804" t="n"/>
      <c r="E25" s="804" t="n"/>
    </row>
    <row r="26" ht="33.5" customHeight="1" s="254">
      <c r="A26" s="798" t="inlineStr">
        <is>
          <t>Scope of supply — which lines do we provide?</t>
        </is>
      </c>
      <c r="B26" s="804" t="n"/>
      <c r="C26" s="804" t="n"/>
      <c r="D26" s="804" t="n"/>
      <c r="E26" s="804" t="n"/>
    </row>
    <row r="27" ht="31" customHeight="1" s="254">
      <c r="A27" s="792" t="inlineStr">
        <is>
          <t>Default is all of them, which is the base case. Mark a line "By others" when a third party supplies it — it leaves our contract but stays in the client's project.</t>
        </is>
      </c>
    </row>
    <row r="28" ht="16" customHeight="1" s="254">
      <c r="A28" s="811" t="n"/>
      <c r="B28" s="804" t="n"/>
      <c r="C28" s="804" t="n"/>
      <c r="D28" s="804" t="n"/>
      <c r="E28" s="804" t="n"/>
    </row>
    <row r="29" ht="16" customHeight="1" s="254">
      <c r="A29" s="801" t="inlineStr">
        <is>
          <t>Service line</t>
        </is>
      </c>
      <c r="B29" s="801" t="inlineStr">
        <is>
          <t>Who provides it</t>
        </is>
      </c>
      <c r="C29" s="801" t="inlineStr">
        <is>
          <t>Third party name</t>
        </is>
      </c>
      <c r="D29" s="801" t="inlineStr">
        <is>
          <t>Notes</t>
        </is>
      </c>
      <c r="E29" s="804" t="n"/>
    </row>
    <row r="30" ht="31" customHeight="1" s="254">
      <c r="A30" s="888" t="inlineStr">
        <is>
          <t>Charger hardware — procurement and sale</t>
        </is>
      </c>
      <c r="B30" s="807" t="inlineStr">
        <is>
          <t>We provide</t>
        </is>
      </c>
      <c r="C30" s="799" t="n"/>
      <c r="D30" s="799" t="n"/>
      <c r="E30" s="804" t="n"/>
    </row>
    <row r="31" ht="16" customHeight="1" s="254">
      <c r="A31" s="888" t="inlineStr">
        <is>
          <t>Extended warranty and O&amp;M service</t>
        </is>
      </c>
      <c r="B31" s="807" t="inlineStr">
        <is>
          <t>We provide</t>
        </is>
      </c>
      <c r="C31" s="799" t="n"/>
      <c r="D31" s="799" t="n"/>
      <c r="E31" s="804" t="n"/>
    </row>
    <row r="32" ht="16" customHeight="1" s="254">
      <c r="A32" s="888" t="inlineStr">
        <is>
          <t>EVOLV platform and commissioning</t>
        </is>
      </c>
      <c r="B32" s="807" t="inlineStr">
        <is>
          <t>We provide</t>
        </is>
      </c>
      <c r="C32" s="799" t="n"/>
      <c r="D32" s="799" t="n"/>
      <c r="E32" s="804" t="n"/>
    </row>
    <row r="33" ht="16" customHeight="1" s="254">
      <c r="A33" s="888" t="inlineStr">
        <is>
          <t>Sales tax on chargers</t>
        </is>
      </c>
      <c r="B33" s="807" t="inlineStr">
        <is>
          <t>We provide</t>
        </is>
      </c>
      <c r="C33" s="799" t="n"/>
      <c r="D33" s="799" t="n"/>
      <c r="E33" s="804" t="n"/>
    </row>
    <row r="34" ht="16" customHeight="1" s="254">
      <c r="A34" s="888" t="inlineStr">
        <is>
          <t>Design and engineering</t>
        </is>
      </c>
      <c r="B34" s="807" t="inlineStr">
        <is>
          <t>By others</t>
        </is>
      </c>
      <c r="C34" s="799" t="n"/>
      <c r="D34" s="799" t="n"/>
      <c r="E34" s="804" t="n"/>
    </row>
    <row r="35" ht="31" customHeight="1" s="254">
      <c r="A35" s="888" t="inlineStr">
        <is>
          <t>Construction — all-inclusive (materials, equipment, labour)</t>
        </is>
      </c>
      <c r="B35" s="807" t="inlineStr">
        <is>
          <t>We provide</t>
        </is>
      </c>
      <c r="C35" s="799" t="n"/>
      <c r="D35" s="799" t="n"/>
      <c r="E35" s="804" t="n"/>
    </row>
    <row r="36" ht="16" customHeight="1" s="254">
      <c r="A36" s="888" t="inlineStr">
        <is>
          <t>Utility interconnection management</t>
        </is>
      </c>
      <c r="B36" s="807" t="inlineStr">
        <is>
          <t>We provide</t>
        </is>
      </c>
      <c r="C36" s="799" t="n"/>
      <c r="D36" s="799" t="n"/>
      <c r="E36" s="804" t="n"/>
    </row>
    <row r="37" ht="16" customHeight="1" s="254">
      <c r="A37" s="792" t="inlineStr">
        <is>
          <t>Carbon credit administration is NOT one of our lines — a third-party aggregator takes a share of proceeds. See 7_Carbon.</t>
        </is>
      </c>
      <c r="E37" s="804" t="n"/>
    </row>
    <row r="38" ht="31" customHeight="1" s="254">
      <c r="A38" s="811" t="n"/>
      <c r="B38" s="792" t="inlineStr">
        <is>
          <t>Handing a line to a third party removes its price and its margin. The model shows what each one is worth before you offer it.</t>
        </is>
      </c>
    </row>
    <row r="39" ht="16" customHeight="1" s="254">
      <c r="A39" s="811" t="n"/>
      <c r="B39" s="804" t="n"/>
      <c r="C39" s="804" t="n"/>
      <c r="D39" s="804" t="n"/>
      <c r="E39" s="804" t="n"/>
    </row>
    <row r="40" ht="19.75" customHeight="1" s="254">
      <c r="A40" s="798" t="inlineStr">
        <is>
          <t>Financing basis</t>
        </is>
      </c>
      <c r="B40" s="804" t="n"/>
      <c r="C40" s="804" t="n"/>
      <c r="D40" s="804" t="n"/>
      <c r="E40" s="804" t="n"/>
    </row>
    <row r="41" ht="16" customHeight="1" s="254">
      <c r="A41" s="781" t="inlineStr">
        <is>
          <t>Client finances</t>
        </is>
      </c>
      <c r="B41" s="807" t="inlineStr">
        <is>
          <t>Whole project</t>
        </is>
      </c>
      <c r="C41" s="792" t="inlineStr">
        <is>
          <t>Whether the facility covers third-party scope too</t>
        </is>
      </c>
      <c r="D41" s="804" t="n"/>
      <c r="E41" s="804"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24" customWidth="1" style="253" min="2" max="4"/>
    <col width="12" customWidth="1" style="254" min="3" max="3"/>
    <col width="60" customWidth="1" style="254" min="4" max="4"/>
  </cols>
  <sheetData>
    <row r="1" ht="26" customHeight="1" s="254">
      <c r="A1" s="790" t="inlineStr">
        <is>
          <t>9 · OVERRIDE REGISTER</t>
        </is>
      </c>
    </row>
    <row r="2" ht="16" customHeight="1" s="254">
      <c r="A2" s="792" t="inlineStr">
        <is>
          <t>The escape hatch. Force any derived value here when you know better than the engine — a quote, a fee schedule, a field measurement.</t>
        </is>
      </c>
    </row>
    <row r="3" ht="16" customHeight="1" s="254">
      <c r="A3" s="811" t="n"/>
      <c r="B3" s="804" t="n"/>
      <c r="C3" s="804" t="n"/>
      <c r="D3" s="804" t="n"/>
    </row>
    <row r="4" ht="31" customHeight="1" s="254">
      <c r="A4" s="781" t="inlineStr">
        <is>
          <t>•</t>
        </is>
      </c>
      <c r="B4" s="781" t="inlineStr">
        <is>
          <t>Leave a row blank and the engine uses its own computed number. Fill it in and the engine uses yours, everywhere.</t>
        </is>
      </c>
    </row>
    <row r="5" ht="31" customHeight="1" s="254">
      <c r="A5" s="781" t="inlineStr">
        <is>
          <t>•</t>
        </is>
      </c>
      <c r="B5" s="781" t="inlineStr">
        <is>
          <t>Every override is reported on the model summary, so a reviewer can always see that the model was touched and exactly where.</t>
        </is>
      </c>
    </row>
    <row r="6" ht="31" customHeight="1" s="254">
      <c r="A6" s="781" t="inlineStr">
        <is>
          <t>•</t>
        </is>
      </c>
      <c r="B6" s="781" t="inlineStr">
        <is>
          <t>Put the reason in the last column. An override with no reason is indistinguishable from a typo six months later.</t>
        </is>
      </c>
    </row>
    <row r="7" ht="16" customHeight="1" s="254">
      <c r="A7" s="811" t="n"/>
      <c r="B7" s="804" t="n"/>
      <c r="C7" s="804" t="n"/>
      <c r="D7" s="804" t="n"/>
    </row>
    <row r="8" ht="16" customHeight="1" s="254">
      <c r="A8" s="801" t="inlineStr">
        <is>
          <t>Value</t>
        </is>
      </c>
      <c r="B8" s="801" t="inlineStr">
        <is>
          <t>Override</t>
        </is>
      </c>
      <c r="C8" s="801" t="inlineStr">
        <is>
          <t>Units</t>
        </is>
      </c>
      <c r="D8" s="801" t="inlineStr">
        <is>
          <t>Why — quote, fee schedule, measurement</t>
        </is>
      </c>
    </row>
    <row r="9" ht="31" customHeight="1" s="254">
      <c r="A9" s="888" t="inlineStr">
        <is>
          <t>Wires, conduits and peripherals (before uplift)</t>
        </is>
      </c>
      <c r="B9" s="833" t="n"/>
      <c r="C9" s="939" t="inlineStr">
        <is>
          <t>$</t>
        </is>
      </c>
      <c r="D9" s="799" t="n"/>
    </row>
    <row r="10" ht="43.5" customHeight="1" s="254">
      <c r="A10" s="888" t="inlineStr">
        <is>
          <t>Switchgear and distribution (before uplift)</t>
        </is>
      </c>
      <c r="B10" s="833" t="n">
        <v>150000</v>
      </c>
      <c r="C10" s="939" t="inlineStr">
        <is>
          <t>$</t>
        </is>
      </c>
      <c r="D10" s="797" t="inlineStr">
        <is>
          <t>Vendor quote for the switchboard</t>
        </is>
      </c>
    </row>
    <row r="11" ht="16" customHeight="1" s="254">
      <c r="A11" s="888" t="inlineStr">
        <is>
          <t>Site works (before uplift)</t>
        </is>
      </c>
      <c r="B11" s="833" t="n"/>
      <c r="C11" s="939" t="inlineStr">
        <is>
          <t>$</t>
        </is>
      </c>
      <c r="D11" s="799" t="n"/>
    </row>
    <row r="12" ht="16" customHeight="1" s="254">
      <c r="A12" s="888" t="inlineStr">
        <is>
          <t>Dump, waste and freight (before uplift)</t>
        </is>
      </c>
      <c r="B12" s="833" t="n"/>
      <c r="C12" s="939" t="inlineStr">
        <is>
          <t>$</t>
        </is>
      </c>
      <c r="D12" s="799" t="n"/>
    </row>
    <row r="13" ht="16" customHeight="1" s="254">
      <c r="A13" s="888" t="inlineStr">
        <is>
          <t>Permits and plan check (before uplift)</t>
        </is>
      </c>
      <c r="B13" s="833" t="n"/>
      <c r="C13" s="939" t="inlineStr">
        <is>
          <t>$</t>
        </is>
      </c>
      <c r="D13" s="799" t="n"/>
    </row>
    <row r="14" ht="31" customHeight="1" s="254">
      <c r="A14" s="888" t="inlineStr">
        <is>
          <t>Utility application and contract fees (before uplift)</t>
        </is>
      </c>
      <c r="B14" s="833" t="n"/>
      <c r="C14" s="939" t="inlineStr">
        <is>
          <t>$</t>
        </is>
      </c>
      <c r="D14" s="799" t="n"/>
    </row>
    <row r="15" ht="31" customHeight="1" s="254">
      <c r="A15" s="888" t="inlineStr">
        <is>
          <t>Construction equipment rentals (before uplift)</t>
        </is>
      </c>
      <c r="B15" s="833" t="n"/>
      <c r="C15" s="939" t="inlineStr">
        <is>
          <t>$</t>
        </is>
      </c>
      <c r="D15" s="799" t="n"/>
    </row>
    <row r="16" ht="16" customHeight="1" s="254">
      <c r="A16" s="888" t="inlineStr">
        <is>
          <t>Design and engineering</t>
        </is>
      </c>
      <c r="B16" s="833" t="n"/>
      <c r="C16" s="939" t="inlineStr">
        <is>
          <t>$</t>
        </is>
      </c>
      <c r="D16" s="799" t="n"/>
    </row>
    <row r="17" ht="31" customHeight="1" s="254">
      <c r="A17" s="888" t="inlineStr">
        <is>
          <t>Utility line-extension contribution (if any)</t>
        </is>
      </c>
      <c r="B17" s="833" t="n"/>
      <c r="C17" s="939" t="inlineStr">
        <is>
          <t>$</t>
        </is>
      </c>
      <c r="D17" s="799" t="inlineStr">
        <is>
          <t>Leave blank and it is excluded by name in the proposal. Fill it in only when PG&amp;E returns a design that requires it.</t>
        </is>
      </c>
    </row>
    <row r="18" ht="16" customHeight="1" s="254">
      <c r="A18" s="888" t="inlineStr">
        <is>
          <t>Additional or unforeseen scope</t>
        </is>
      </c>
      <c r="B18" s="833" t="n"/>
      <c r="C18" s="939" t="inlineStr">
        <is>
          <t>$</t>
        </is>
      </c>
      <c r="D18" s="799" t="n"/>
    </row>
    <row r="19" ht="16" customHeight="1" s="254">
      <c r="A19" s="888" t="inlineStr">
        <is>
          <t>Standard frame (A)</t>
        </is>
      </c>
      <c r="B19" s="818" t="n">
        <v>3200</v>
      </c>
      <c r="C19" s="939" t="inlineStr">
        <is>
          <t>amps</t>
        </is>
      </c>
      <c r="D19" s="799" t="inlineStr">
        <is>
          <t>Engineer's single line</t>
        </is>
      </c>
    </row>
    <row r="20" ht="16" customHeight="1" s="254">
      <c r="A20" s="888" t="inlineStr">
        <is>
          <t>Branch breaker per cabinet (A)</t>
        </is>
      </c>
      <c r="B20" s="818" t="n"/>
      <c r="C20" s="939" t="inlineStr">
        <is>
          <t>amps</t>
        </is>
      </c>
      <c r="D20" s="799" t="n"/>
    </row>
    <row r="21" ht="16" customHeight="1" s="254">
      <c r="A21" s="888" t="inlineStr">
        <is>
          <t>Crew days on site</t>
        </is>
      </c>
      <c r="B21" s="818" t="n"/>
      <c r="C21" s="939" t="inlineStr">
        <is>
          <t>days</t>
        </is>
      </c>
      <c r="D21" s="799" t="n"/>
    </row>
    <row r="22" ht="16" customHeight="1" s="254">
      <c r="A22" s="888" t="inlineStr">
        <is>
          <t>Steady-state kWh per day</t>
        </is>
      </c>
      <c r="B22" s="818" t="n">
        <v>1400</v>
      </c>
      <c r="C22" s="939" t="inlineStr">
        <is>
          <t>kWh</t>
        </is>
      </c>
      <c r="D22" s="799" t="inlineStr">
        <is>
          <t>Traffic study, Aug 2026</t>
        </is>
      </c>
    </row>
    <row r="23" ht="16" customHeight="1" s="254">
      <c r="A23" s="888" t="inlineStr">
        <is>
          <t>Gross capacity credit per year</t>
        </is>
      </c>
      <c r="B23" s="833" t="n"/>
      <c r="C23" s="939" t="inlineStr">
        <is>
          <t>$</t>
        </is>
      </c>
      <c r="D23" s="799" t="n"/>
    </row>
    <row r="24" ht="16" customHeight="1" s="254">
      <c r="A24" s="888" t="inlineStr">
        <is>
          <t>Monthly loan payment</t>
        </is>
      </c>
      <c r="B24" s="833" t="n"/>
      <c r="C24" s="939" t="inlineStr">
        <is>
          <t>$</t>
        </is>
      </c>
      <c r="D24" s="799" t="n"/>
    </row>
    <row r="25" ht="16" customHeight="1" s="254">
      <c r="A25" s="888" t="inlineStr">
        <is>
          <t>Hardware MSRP each</t>
        </is>
      </c>
      <c r="B25" s="833" t="n"/>
      <c r="C25" s="939" t="inlineStr">
        <is>
          <t>$</t>
        </is>
      </c>
      <c r="D25" s="799" t="n"/>
    </row>
    <row r="26" ht="16" customHeight="1" s="254">
      <c r="A26" s="888" t="inlineStr">
        <is>
          <t>Retail price to driver</t>
        </is>
      </c>
      <c r="B26" s="834" t="n">
        <v>0.62</v>
      </c>
      <c r="C26" s="939" t="inlineStr">
        <is>
          <t>$/kWh</t>
        </is>
      </c>
      <c r="D26" s="799" t="inlineStr">
        <is>
          <t>Pricing committee</t>
        </is>
      </c>
    </row>
    <row r="27" ht="16" customHeight="1" s="254">
      <c r="A27" s="888" t="inlineStr">
        <is>
          <t>Delivered energy cost</t>
        </is>
      </c>
      <c r="B27" s="834" t="n"/>
      <c r="C27" s="939" t="inlineStr">
        <is>
          <t>$/kWh</t>
        </is>
      </c>
      <c r="D27" s="799" t="n"/>
    </row>
    <row r="28" ht="16" customHeight="1" s="254">
      <c r="A28" s="888" t="inlineStr">
        <is>
          <t>Utility demand / subscription</t>
        </is>
      </c>
      <c r="B28" s="834" t="n"/>
      <c r="C28" s="939" t="inlineStr">
        <is>
          <t>$/yr</t>
        </is>
      </c>
      <c r="D28" s="799"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21"/>
    <col width="13" customWidth="1" style="254" min="12" max="12"/>
    <col width="13" customWidth="1" style="254" min="13" max="13"/>
    <col width="13" customWidth="1" style="254" min="14" max="14"/>
    <col width="13" customWidth="1" style="254" min="15" max="15"/>
    <col width="13" customWidth="1" style="254" min="16" max="16"/>
    <col width="13" customWidth="1" style="254" min="17" max="17"/>
    <col width="13" customWidth="1" style="254" min="18" max="18"/>
    <col width="13" customWidth="1" style="254" min="19" max="19"/>
    <col width="13" customWidth="1" style="254" min="20" max="20"/>
    <col width="13" customWidth="1" style="254" min="21" max="21"/>
    <col width="9" customWidth="1" style="253" min="22" max="22"/>
    <col width="20" customWidth="1" style="253" min="23" max="23"/>
    <col width="13" customWidth="1" style="253" min="24" max="25"/>
    <col width="13" customWidth="1" style="254" min="25" max="25"/>
    <col width="9" customWidth="1" style="253" min="26" max="29"/>
    <col width="13" customWidth="1" style="254" min="27" max="27"/>
    <col width="13" customWidth="1" style="254" min="28" max="28"/>
    <col width="13" customWidth="1" style="254" min="29"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I1" s="358" t="inlineStr">
        <is>
          <t>CONNECTORS</t>
        </is>
      </c>
      <c r="J1" s="358" t="inlineStr">
        <is>
          <t>HOW THE COUNT WAS DECIDED</t>
        </is>
      </c>
      <c r="K1" s="440" t="inlineStr">
        <is>
          <t>SKU INDEX — built from the categories above; the capacity dropdown on 2_Equipment resolves against these columns</t>
        </is>
      </c>
    </row>
    <row r="2" ht="19.5" customHeight="1" s="254">
      <c r="A2" s="263" t="inlineStr">
        <is>
          <t>_L2</t>
        </is>
      </c>
      <c r="B2" s="263" t="inlineStr">
        <is>
          <t>CTX-R40-240-1</t>
        </is>
      </c>
      <c r="C2" s="263" t="inlineStr">
        <is>
          <t>40A Single Home Charger</t>
        </is>
      </c>
      <c r="D2" s="441" t="n">
        <v>605</v>
      </c>
      <c r="E2" s="442" t="n"/>
      <c r="F2" s="443" t="n"/>
      <c r="I2" s="444" t="n">
        <v>1</v>
      </c>
      <c r="J2" s="445" t="inlineStr">
        <is>
          <t>description says Single</t>
        </is>
      </c>
      <c r="K2" s="446" t="inlineStr">
        <is>
          <t>Level 2 AC</t>
        </is>
      </c>
      <c r="L2" s="447" t="inlineStr">
        <is>
          <t>30 kW DC</t>
        </is>
      </c>
      <c r="M2" s="447" t="inlineStr">
        <is>
          <t>60 kW DC</t>
        </is>
      </c>
      <c r="N2" s="447" t="inlineStr">
        <is>
          <t>120 kW DC</t>
        </is>
      </c>
      <c r="O2" s="447" t="inlineStr">
        <is>
          <t>160 kW DC</t>
        </is>
      </c>
      <c r="P2" s="447" t="inlineStr">
        <is>
          <t>180 kW DC</t>
        </is>
      </c>
      <c r="Q2" s="447" t="inlineStr">
        <is>
          <t>240 kW DC</t>
        </is>
      </c>
      <c r="R2" s="447" t="inlineStr">
        <is>
          <t>360 kW DC</t>
        </is>
      </c>
      <c r="S2" s="447" t="inlineStr">
        <is>
          <t>V2G</t>
        </is>
      </c>
      <c r="T2" s="447" t="inlineStr">
        <is>
          <t>Distributed system</t>
        </is>
      </c>
      <c r="U2" s="447" t="inlineStr">
        <is>
          <t>Accessory</t>
        </is>
      </c>
      <c r="W2" s="448" t="inlineStr">
        <is>
          <t>CAPACITY</t>
        </is>
      </c>
      <c r="X2" s="448" t="inlineStr">
        <is>
          <t>RATED kW</t>
        </is>
      </c>
      <c r="Y2" s="448" t="inlineStr">
        <is>
          <t>PER PORT</t>
        </is>
      </c>
      <c r="AD2" s="448" t="inlineStr">
        <is>
          <t>ROLE BY SKU</t>
        </is>
      </c>
      <c r="AE2" s="448" t="inlineStr">
        <is>
          <t>ROLE</t>
        </is>
      </c>
      <c r="AG2" s="449" t="inlineStr">
        <is>
          <t>DISPENSERS</t>
        </is>
      </c>
    </row>
    <row r="3" ht="15" customHeight="1" s="254">
      <c r="A3" s="263" t="inlineStr">
        <is>
          <t>_L2</t>
        </is>
      </c>
      <c r="B3" s="263" t="inlineStr">
        <is>
          <t>CTX-R48-240-1</t>
        </is>
      </c>
      <c r="C3" s="263" t="inlineStr">
        <is>
          <t>48A Single Home Charger</t>
        </is>
      </c>
      <c r="D3" s="441" t="n">
        <v>605</v>
      </c>
      <c r="E3" s="442" t="n"/>
      <c r="F3" s="443" t="n"/>
      <c r="I3" s="444" t="n">
        <v>1</v>
      </c>
      <c r="J3" s="445" t="inlineStr">
        <is>
          <t>description says Single</t>
        </is>
      </c>
      <c r="K3" s="450" t="inlineStr">
        <is>
          <t>CTX-R40-240-1</t>
        </is>
      </c>
      <c r="L3" s="450" t="inlineStr">
        <is>
          <t>TP5-30-480-1</t>
        </is>
      </c>
      <c r="M3" s="450" t="inlineStr">
        <is>
          <t>TP5-60-480-1</t>
        </is>
      </c>
      <c r="N3" s="450" t="inlineStr">
        <is>
          <t>TP5-120-480-1</t>
        </is>
      </c>
      <c r="O3" s="450" t="inlineStr">
        <is>
          <t>TP5-160-480-1</t>
        </is>
      </c>
      <c r="P3" s="450" t="inlineStr">
        <is>
          <t>TP5-180-480-1</t>
        </is>
      </c>
      <c r="Q3" s="450" t="inlineStr">
        <is>
          <t>TP5-240-480-2-300</t>
        </is>
      </c>
      <c r="R3" s="450" t="inlineStr">
        <is>
          <t>TP5-360-480-1-300</t>
        </is>
      </c>
      <c r="S3" s="450" t="inlineStr">
        <is>
          <t>CTX-V2G-20-480-1</t>
        </is>
      </c>
      <c r="T3" s="450" t="inlineStr">
        <is>
          <t>CTX-DSPB-360</t>
        </is>
      </c>
      <c r="U3" s="450" t="inlineStr">
        <is>
          <t>CTX-FLUXPED</t>
        </is>
      </c>
      <c r="W3" s="276" t="inlineStr">
        <is>
          <t>Level 2 AC</t>
        </is>
      </c>
      <c r="X3" s="444" t="n">
        <v>7.2</v>
      </c>
      <c r="Y3" s="444" t="n">
        <v>1</v>
      </c>
      <c r="AD3" s="451" t="inlineStr">
        <is>
          <t>CTX-R40-240-1</t>
        </is>
      </c>
      <c r="AE3" s="452" t="inlineStr">
        <is>
          <t>level_2</t>
        </is>
      </c>
      <c r="AG3" s="453" t="inlineStr">
        <is>
          <t>CTX-DST-2-300</t>
        </is>
      </c>
    </row>
    <row r="4" ht="15" customHeight="1" s="254">
      <c r="A4" s="263" t="inlineStr">
        <is>
          <t>_L2</t>
        </is>
      </c>
      <c r="B4" s="263" t="inlineStr">
        <is>
          <t>CTX-C32-240-1</t>
        </is>
      </c>
      <c r="C4" s="263" t="inlineStr">
        <is>
          <t>32A Single Commercial L2 Charger</t>
        </is>
      </c>
      <c r="D4" s="441" t="n">
        <v>1402.5</v>
      </c>
      <c r="E4" s="442" t="n"/>
      <c r="F4" s="443" t="n"/>
      <c r="I4" s="444" t="n">
        <v>1</v>
      </c>
      <c r="J4" s="445" t="inlineStr">
        <is>
          <t>description says Single</t>
        </is>
      </c>
      <c r="K4" s="450" t="inlineStr">
        <is>
          <t>CTX-R48-240-1</t>
        </is>
      </c>
      <c r="L4" s="450" t="inlineStr">
        <is>
          <t>TP5-30-480-3</t>
        </is>
      </c>
      <c r="M4" s="450" t="inlineStr">
        <is>
          <t>TP5-60-480-2</t>
        </is>
      </c>
      <c r="N4" s="450" t="inlineStr">
        <is>
          <t>TP5-120-480-2</t>
        </is>
      </c>
      <c r="O4" s="450" t="inlineStr">
        <is>
          <t>TP5-160-480-2</t>
        </is>
      </c>
      <c r="P4" s="450" t="inlineStr">
        <is>
          <t>TP5-180-480-2</t>
        </is>
      </c>
      <c r="Q4" s="450" t="inlineStr">
        <is>
          <t>TP5-240-480-2-400</t>
        </is>
      </c>
      <c r="R4" s="450" t="inlineStr">
        <is>
          <t>TP5-360-480-2-300</t>
        </is>
      </c>
      <c r="S4" s="450" t="inlineStr">
        <is>
          <t>CTX-V2G-30-480-1</t>
        </is>
      </c>
      <c r="T4" s="450" t="inlineStr">
        <is>
          <t>CTX-DSPB-480</t>
        </is>
      </c>
      <c r="U4" s="450" t="inlineStr">
        <is>
          <t>CTX-FLUXWAL-CMS-1</t>
        </is>
      </c>
      <c r="W4" s="276" t="inlineStr">
        <is>
          <t>30 kW DC</t>
        </is>
      </c>
      <c r="X4" s="444" t="n">
        <v>30</v>
      </c>
      <c r="Y4" s="444" t="n">
        <v>0</v>
      </c>
      <c r="AD4" s="451" t="inlineStr">
        <is>
          <t>CTX-R48-240-1</t>
        </is>
      </c>
      <c r="AE4" s="452" t="inlineStr">
        <is>
          <t>level_2</t>
        </is>
      </c>
      <c r="AG4" s="453" t="inlineStr">
        <is>
          <t>CTX-DST-HPC-2-500/300</t>
        </is>
      </c>
    </row>
    <row r="5" ht="15" customHeight="1" s="254">
      <c r="A5" s="263" t="inlineStr">
        <is>
          <t>_L2</t>
        </is>
      </c>
      <c r="B5" s="263" t="inlineStr">
        <is>
          <t>CTX-C48-240-1</t>
        </is>
      </c>
      <c r="C5" s="263" t="inlineStr">
        <is>
          <t>48A Single Commercial L2 Charger (18' Cable with Modem)</t>
        </is>
      </c>
      <c r="D5" s="441" t="n">
        <v>1402.5</v>
      </c>
      <c r="E5" s="442" t="n"/>
      <c r="F5" s="443" t="n"/>
      <c r="I5" s="444" t="n">
        <v>1</v>
      </c>
      <c r="J5" s="445" t="inlineStr">
        <is>
          <t>description says Single</t>
        </is>
      </c>
      <c r="K5" s="450" t="inlineStr">
        <is>
          <t>CTX-C32-240-1</t>
        </is>
      </c>
      <c r="M5" s="450" t="inlineStr">
        <is>
          <t>TP5-60-480-3</t>
        </is>
      </c>
      <c r="N5" s="450" t="inlineStr">
        <is>
          <t>TP5-120-480-2-300</t>
        </is>
      </c>
      <c r="O5" s="450" t="inlineStr">
        <is>
          <t>TP5-160-480-3</t>
        </is>
      </c>
      <c r="P5" s="450" t="inlineStr">
        <is>
          <t>TP5-180-480-2-300</t>
        </is>
      </c>
      <c r="Q5" s="450" t="inlineStr">
        <is>
          <t>HPC-240-480-1</t>
        </is>
      </c>
      <c r="R5" s="450" t="inlineStr">
        <is>
          <t>TP5-360-480-3-300</t>
        </is>
      </c>
      <c r="S5" s="450" t="inlineStr">
        <is>
          <t>CTX-V2G-40-480-1</t>
        </is>
      </c>
      <c r="T5" s="450" t="inlineStr">
        <is>
          <t>CTX-DSPB-1280</t>
        </is>
      </c>
      <c r="U5" s="450" t="inlineStr">
        <is>
          <t>CTX-FLUXPED-CMS-1</t>
        </is>
      </c>
      <c r="W5" s="276" t="inlineStr">
        <is>
          <t>60 kW DC</t>
        </is>
      </c>
      <c r="X5" s="444" t="n">
        <v>60</v>
      </c>
      <c r="Y5" s="444" t="n">
        <v>0</v>
      </c>
      <c r="AD5" s="451" t="inlineStr">
        <is>
          <t>CTX-C32-240-1</t>
        </is>
      </c>
      <c r="AE5" s="452" t="inlineStr">
        <is>
          <t>level_2</t>
        </is>
      </c>
    </row>
    <row r="6" ht="15" customHeight="1" s="254">
      <c r="A6" s="263" t="inlineStr">
        <is>
          <t>_L2</t>
        </is>
      </c>
      <c r="B6" s="263" t="inlineStr">
        <is>
          <t>CTX-C80-240-1</t>
        </is>
      </c>
      <c r="C6" s="263" t="inlineStr">
        <is>
          <t>80A Single Commercial L2 Charger (18' Cable with Modem)</t>
        </is>
      </c>
      <c r="D6" s="441" t="n">
        <v>1650</v>
      </c>
      <c r="E6" s="442" t="n"/>
      <c r="F6" s="443" t="n"/>
      <c r="I6" s="444" t="n">
        <v>1</v>
      </c>
      <c r="J6" s="445" t="inlineStr">
        <is>
          <t>description says Single</t>
        </is>
      </c>
      <c r="K6" s="450" t="inlineStr">
        <is>
          <t>CTX-C48-240-1</t>
        </is>
      </c>
      <c r="M6" s="450" t="inlineStr">
        <is>
          <t>TP5-60-480-4</t>
        </is>
      </c>
      <c r="N6" s="450" t="inlineStr">
        <is>
          <t>TP5-120-480-3-300</t>
        </is>
      </c>
      <c r="O6" s="450" t="inlineStr">
        <is>
          <t>TP5-160-480-2-300</t>
        </is>
      </c>
      <c r="P6" s="450" t="inlineStr">
        <is>
          <t>TP5-180-480-3-300</t>
        </is>
      </c>
      <c r="Q6" s="450" t="inlineStr">
        <is>
          <t>HPC-240-480-2</t>
        </is>
      </c>
      <c r="R6" s="450" t="inlineStr">
        <is>
          <t>TP5-360-480-4-300</t>
        </is>
      </c>
      <c r="S6" s="450" t="inlineStr">
        <is>
          <t>CTX-V2G-60-480-1</t>
        </is>
      </c>
      <c r="T6" s="450" t="inlineStr">
        <is>
          <t>CTX-DST-2-300</t>
        </is>
      </c>
      <c r="U6" s="450" t="inlineStr">
        <is>
          <t>CTX-FLUXPED-CMS-2</t>
        </is>
      </c>
      <c r="W6" s="276" t="inlineStr">
        <is>
          <t>120 kW DC</t>
        </is>
      </c>
      <c r="X6" s="444" t="n">
        <v>120</v>
      </c>
      <c r="Y6" s="444" t="n">
        <v>0</v>
      </c>
      <c r="AD6" s="451" t="inlineStr">
        <is>
          <t>CTX-C48-240-1</t>
        </is>
      </c>
      <c r="AE6" s="452" t="inlineStr">
        <is>
          <t>level_2</t>
        </is>
      </c>
    </row>
    <row r="7" ht="15" customHeight="1" s="254">
      <c r="A7" s="263" t="inlineStr">
        <is>
          <t>_L2</t>
        </is>
      </c>
      <c r="B7" s="263" t="inlineStr">
        <is>
          <t>CTX-C40-240-2</t>
        </is>
      </c>
      <c r="C7" s="263" t="inlineStr">
        <is>
          <t>40A Dual Commercial L2 Charger (18' Cable with Modem)</t>
        </is>
      </c>
      <c r="D7" s="441" t="n">
        <v>1952.5</v>
      </c>
      <c r="E7" s="442" t="n"/>
      <c r="F7" s="443" t="n"/>
      <c r="I7" s="444" t="n">
        <v>2</v>
      </c>
      <c r="J7" s="445" t="inlineStr">
        <is>
          <t>description says Dual</t>
        </is>
      </c>
      <c r="K7" s="450" t="inlineStr">
        <is>
          <t>CTX-C80-240-1</t>
        </is>
      </c>
      <c r="M7" s="450" t="inlineStr">
        <is>
          <t>CTX-AiO-60-2-200</t>
        </is>
      </c>
      <c r="N7" s="450" t="inlineStr">
        <is>
          <t>CTX-AiO-120-2-350</t>
        </is>
      </c>
      <c r="O7" s="450" t="inlineStr">
        <is>
          <t>HPC-160-480-1</t>
        </is>
      </c>
      <c r="P7" s="450" t="inlineStr">
        <is>
          <t>TP5-180-480-2-300-CL20</t>
        </is>
      </c>
      <c r="Q7" s="450" t="inlineStr">
        <is>
          <t>CTX-AiO-240-2-300</t>
        </is>
      </c>
      <c r="R7" s="450" t="inlineStr">
        <is>
          <t>HPC-360-480-1</t>
        </is>
      </c>
      <c r="T7" s="450" t="inlineStr">
        <is>
          <t>CTX-DST-HPC-2-500/300</t>
        </is>
      </c>
      <c r="U7" s="450" t="inlineStr">
        <is>
          <t>CTX-FLUXPED-SBS</t>
        </is>
      </c>
      <c r="W7" s="276" t="inlineStr">
        <is>
          <t>160 kW DC</t>
        </is>
      </c>
      <c r="X7" s="444" t="n">
        <v>160</v>
      </c>
      <c r="Y7" s="444" t="n">
        <v>0</v>
      </c>
      <c r="AD7" s="451" t="inlineStr">
        <is>
          <t>CTX-C80-240-1</t>
        </is>
      </c>
      <c r="AE7" s="452" t="inlineStr">
        <is>
          <t>level_2</t>
        </is>
      </c>
    </row>
    <row r="8" ht="15" customHeight="1" s="254">
      <c r="A8" s="263" t="inlineStr">
        <is>
          <t>_L2</t>
        </is>
      </c>
      <c r="B8" s="263" t="inlineStr">
        <is>
          <t>CTX-C80-240-2</t>
        </is>
      </c>
      <c r="C8" s="263" t="inlineStr">
        <is>
          <t>80A Dual Commercial L2 Charger (18' Cable with Modem)</t>
        </is>
      </c>
      <c r="D8" s="441" t="n">
        <v>2194.5</v>
      </c>
      <c r="E8" s="442" t="n"/>
      <c r="F8" s="443" t="n"/>
      <c r="I8" s="444" t="n">
        <v>2</v>
      </c>
      <c r="J8" s="445" t="inlineStr">
        <is>
          <t>description says Dual</t>
        </is>
      </c>
      <c r="K8" s="450" t="inlineStr">
        <is>
          <t>CTX-C40-240-2</t>
        </is>
      </c>
      <c r="M8" s="450" t="inlineStr">
        <is>
          <t>CTX-AiO-60-3-200</t>
        </is>
      </c>
      <c r="N8" s="450" t="inlineStr">
        <is>
          <t>CTX-AiO-120-3-350</t>
        </is>
      </c>
      <c r="O8" s="450" t="inlineStr">
        <is>
          <t>HPC-160-480-2</t>
        </is>
      </c>
      <c r="P8" s="450" t="inlineStr">
        <is>
          <t>TP5-180-480-2-BAA</t>
        </is>
      </c>
      <c r="Q8" s="450" t="inlineStr">
        <is>
          <t>CTX-AiO-240-3-300</t>
        </is>
      </c>
      <c r="R8" s="450" t="inlineStr">
        <is>
          <t>HPC-360-480-2</t>
        </is>
      </c>
      <c r="W8" s="276" t="inlineStr">
        <is>
          <t>180 kW DC</t>
        </is>
      </c>
      <c r="X8" s="444" t="n">
        <v>180</v>
      </c>
      <c r="Y8" s="444" t="n">
        <v>0</v>
      </c>
      <c r="AD8" s="451" t="inlineStr">
        <is>
          <t>CTX-C40-240-2</t>
        </is>
      </c>
      <c r="AE8" s="452" t="inlineStr">
        <is>
          <t>level_2</t>
        </is>
      </c>
    </row>
    <row r="9" ht="15" customHeight="1" s="254">
      <c r="A9" s="263" t="inlineStr">
        <is>
          <t>_L2</t>
        </is>
      </c>
      <c r="B9" s="263" t="inlineStr">
        <is>
          <t>CTX-C80-240-1-ISO</t>
        </is>
      </c>
      <c r="C9" s="263" t="inlineStr">
        <is>
          <t>80A Single Commercial L2 Charger (18' Cable with Modem)</t>
        </is>
      </c>
      <c r="D9" s="441" t="n">
        <v>2255</v>
      </c>
      <c r="E9" s="442" t="n"/>
      <c r="F9" s="443" t="n"/>
      <c r="I9" s="444" t="n">
        <v>1</v>
      </c>
      <c r="J9" s="445" t="inlineStr">
        <is>
          <t>description says Single</t>
        </is>
      </c>
      <c r="K9" s="450" t="inlineStr">
        <is>
          <t>CTX-C80-240-2</t>
        </is>
      </c>
      <c r="M9" s="450" t="inlineStr">
        <is>
          <t>CTX-AiO-60-4-200</t>
        </is>
      </c>
      <c r="N9" s="450" t="inlineStr">
        <is>
          <t>CTX-AiO-120-4-350</t>
        </is>
      </c>
      <c r="O9" s="450" t="inlineStr">
        <is>
          <t>CTX-AiO-160-2-350</t>
        </is>
      </c>
      <c r="P9" s="450" t="inlineStr">
        <is>
          <t>TP5-180-480-3-BAA</t>
        </is>
      </c>
      <c r="Q9" s="450" t="inlineStr">
        <is>
          <t>CTX-AiO-240-4-300</t>
        </is>
      </c>
      <c r="R9" s="450" t="inlineStr">
        <is>
          <t>HPC-360-480-3</t>
        </is>
      </c>
      <c r="W9" s="276" t="inlineStr">
        <is>
          <t>240 kW DC</t>
        </is>
      </c>
      <c r="X9" s="444" t="n">
        <v>240</v>
      </c>
      <c r="Y9" s="444" t="n">
        <v>0</v>
      </c>
      <c r="AD9" s="451" t="inlineStr">
        <is>
          <t>CTX-C80-240-2</t>
        </is>
      </c>
      <c r="AE9" s="452" t="inlineStr">
        <is>
          <t>level_2</t>
        </is>
      </c>
    </row>
    <row r="10" ht="15" customHeight="1" s="254">
      <c r="A10" s="263" t="inlineStr">
        <is>
          <t>_L2</t>
        </is>
      </c>
      <c r="B10" s="263" t="inlineStr">
        <is>
          <t>CTX-C40-240-2-ISO</t>
        </is>
      </c>
      <c r="C10" s="263" t="inlineStr">
        <is>
          <t>40A Dual Commercial L2 Charger (18' Cable with Modem)</t>
        </is>
      </c>
      <c r="D10" s="441" t="n">
        <v>2530</v>
      </c>
      <c r="E10" s="442" t="n"/>
      <c r="F10" s="443" t="n"/>
      <c r="I10" s="444" t="n">
        <v>2</v>
      </c>
      <c r="J10" s="445" t="inlineStr">
        <is>
          <t>description says Dual</t>
        </is>
      </c>
      <c r="K10" s="450" t="inlineStr">
        <is>
          <t>CTX-C80-240-1-ISO</t>
        </is>
      </c>
      <c r="M10" s="450" t="inlineStr">
        <is>
          <t>TP5-60-480-2-BAA</t>
        </is>
      </c>
      <c r="N10" s="450" t="inlineStr">
        <is>
          <t>CTX-AiO-120-5-350</t>
        </is>
      </c>
      <c r="O10" s="450" t="inlineStr">
        <is>
          <t>CTX-AiO-160-3-350</t>
        </is>
      </c>
      <c r="P10" s="450" t="inlineStr">
        <is>
          <t>TP5-180-480-4-BAA</t>
        </is>
      </c>
      <c r="Q10" s="450" t="inlineStr">
        <is>
          <t>CTX-AiO-240-5-300</t>
        </is>
      </c>
      <c r="R10" s="450" t="inlineStr">
        <is>
          <t>HPC-360-480-4</t>
        </is>
      </c>
      <c r="W10" s="276" t="inlineStr">
        <is>
          <t>360 kW DC</t>
        </is>
      </c>
      <c r="X10" s="444" t="n">
        <v>360</v>
      </c>
      <c r="Y10" s="444" t="n">
        <v>0</v>
      </c>
      <c r="AD10" s="451" t="inlineStr">
        <is>
          <t>CTX-C80-240-1-ISO</t>
        </is>
      </c>
      <c r="AE10" s="452" t="inlineStr">
        <is>
          <t>level_2</t>
        </is>
      </c>
    </row>
    <row r="11" ht="15" customHeight="1" s="254">
      <c r="A11" s="263" t="inlineStr">
        <is>
          <t>_L2</t>
        </is>
      </c>
      <c r="B11" s="263" t="inlineStr">
        <is>
          <t>CTX-C80-240-2-ISO</t>
        </is>
      </c>
      <c r="C11" s="263" t="inlineStr">
        <is>
          <t>80A Dual Commercial L2 Charger (18' Cable with Modem)</t>
        </is>
      </c>
      <c r="D11" s="441" t="n">
        <v>2805</v>
      </c>
      <c r="E11" s="442" t="n"/>
      <c r="F11" s="443" t="n"/>
      <c r="I11" s="444" t="n">
        <v>2</v>
      </c>
      <c r="J11" s="445" t="inlineStr">
        <is>
          <t>description says Dual</t>
        </is>
      </c>
      <c r="K11" s="450" t="inlineStr">
        <is>
          <t>CTX-C40-240-2-ISO</t>
        </is>
      </c>
      <c r="M11" s="450" t="inlineStr">
        <is>
          <t>TP5-60-480-3-BAA</t>
        </is>
      </c>
      <c r="N11" s="450" t="inlineStr">
        <is>
          <t>CTX-AiO-120-6-350</t>
        </is>
      </c>
      <c r="O11" s="450" t="inlineStr">
        <is>
          <t>CTX-AiO-160-4-350</t>
        </is>
      </c>
      <c r="P11" s="450" t="inlineStr">
        <is>
          <t>HPC-180-480-2-BAA</t>
        </is>
      </c>
      <c r="R11" s="450" t="inlineStr">
        <is>
          <t>TP5-360-480-2-BAA</t>
        </is>
      </c>
      <c r="W11" s="276" t="inlineStr">
        <is>
          <t>V2G</t>
        </is>
      </c>
      <c r="X11" s="444" t="n">
        <v>0</v>
      </c>
      <c r="Y11" s="444" t="n">
        <v>0</v>
      </c>
      <c r="AD11" s="451" t="inlineStr">
        <is>
          <t>CTX-C40-240-2-ISO</t>
        </is>
      </c>
      <c r="AE11" s="452" t="inlineStr">
        <is>
          <t>level_2</t>
        </is>
      </c>
    </row>
    <row r="12" ht="31.5" customHeight="1" s="254">
      <c r="A12" s="263" t="inlineStr">
        <is>
          <t>_kW30</t>
        </is>
      </c>
      <c r="B12" s="263" t="inlineStr">
        <is>
          <t>TP5-30-480-1</t>
        </is>
      </c>
      <c r="C12" s="271" t="inlineStr">
        <is>
          <t>Gen2 30kW DCFC Wall Mount - 100 Amps / 1000VDC with CCS1 (~16ft)</t>
        </is>
      </c>
      <c r="D12" s="441" t="n">
        <v>13750</v>
      </c>
      <c r="E12" s="454" t="n">
        <v>30</v>
      </c>
      <c r="F12" s="443" t="n"/>
      <c r="I12" s="444" t="n">
        <v>1</v>
      </c>
      <c r="J12" s="445" t="inlineStr">
        <is>
          <t>connectors named in the description</t>
        </is>
      </c>
      <c r="K12" s="450" t="inlineStr">
        <is>
          <t>CTX-C80-240-2-ISO</t>
        </is>
      </c>
      <c r="M12" s="450" t="inlineStr">
        <is>
          <t>TP5-60-480-4-BAA</t>
        </is>
      </c>
      <c r="N12" s="450" t="inlineStr">
        <is>
          <t>TP5-120-480-2-300-BAA</t>
        </is>
      </c>
      <c r="O12" s="450" t="inlineStr">
        <is>
          <t>CTX-AiO-160-5-350</t>
        </is>
      </c>
      <c r="P12" s="450" t="inlineStr">
        <is>
          <t>HPC-180-480-3-BAA</t>
        </is>
      </c>
      <c r="R12" s="450" t="inlineStr">
        <is>
          <t>TP5-360-480-3-BAA</t>
        </is>
      </c>
      <c r="W12" s="276" t="inlineStr">
        <is>
          <t>Distributed system</t>
        </is>
      </c>
      <c r="X12" s="444" t="n">
        <v>0</v>
      </c>
      <c r="Y12" s="444" t="n">
        <v>0</v>
      </c>
      <c r="AD12" s="451" t="inlineStr">
        <is>
          <t>CTX-C80-240-2-ISO</t>
        </is>
      </c>
      <c r="AE12" s="452" t="inlineStr">
        <is>
          <t>level_2</t>
        </is>
      </c>
    </row>
    <row r="13" ht="31.5" customHeight="1" s="254">
      <c r="A13" s="263" t="inlineStr">
        <is>
          <t>_kW30</t>
        </is>
      </c>
      <c r="B13" s="263" t="inlineStr">
        <is>
          <t>TP5-30-480-3</t>
        </is>
      </c>
      <c r="C13" s="271" t="inlineStr">
        <is>
          <t>Gen 2Gen 30kW DCFC Wall Mount - 200 Amps / 1000VDC with NACS (~16ft)</t>
        </is>
      </c>
      <c r="D13" s="441" t="n">
        <v>13750</v>
      </c>
      <c r="E13" s="454" t="n">
        <v>30</v>
      </c>
      <c r="F13" s="443" t="n"/>
      <c r="I13" s="444" t="n">
        <v>1</v>
      </c>
      <c r="J13" s="445" t="inlineStr">
        <is>
          <t>connectors named in the description</t>
        </is>
      </c>
      <c r="N13" s="450" t="inlineStr">
        <is>
          <t>TP5-120-480-3-300-BAA</t>
        </is>
      </c>
      <c r="O13" s="450" t="inlineStr">
        <is>
          <t>CTX-AiO-160-6-350</t>
        </is>
      </c>
      <c r="P13" s="450" t="inlineStr">
        <is>
          <t>HPC-180-480-4-BAA</t>
        </is>
      </c>
      <c r="R13" s="450" t="inlineStr">
        <is>
          <t>TP5-360-480-4-BAA</t>
        </is>
      </c>
      <c r="W13" s="276" t="inlineStr">
        <is>
          <t>Accessory</t>
        </is>
      </c>
      <c r="X13" s="444" t="n">
        <v>0</v>
      </c>
      <c r="Y13" s="444" t="n">
        <v>0</v>
      </c>
      <c r="AD13" s="451" t="inlineStr">
        <is>
          <t>TP5-30-480-1</t>
        </is>
      </c>
      <c r="AE13" s="452" t="inlineStr">
        <is>
          <t>all_in_one</t>
        </is>
      </c>
    </row>
    <row r="14" ht="31.5" customHeight="1" s="254">
      <c r="A14" s="263" t="inlineStr">
        <is>
          <t>_kW60</t>
        </is>
      </c>
      <c r="B14" s="263" t="inlineStr">
        <is>
          <t>TP5-60-480-1</t>
        </is>
      </c>
      <c r="C14" s="271" t="inlineStr">
        <is>
          <t xml:space="preserve">60kW DCFC - 200 Amps / 1000VDC with CCS1 &amp; NACS(~16ft) ; 4G Modem </t>
        </is>
      </c>
      <c r="D14" s="441" t="n">
        <v>28500</v>
      </c>
      <c r="E14" s="454" t="n">
        <v>60</v>
      </c>
      <c r="F14" s="443" t="n"/>
      <c r="I14" s="444" t="n">
        <v>2</v>
      </c>
      <c r="J14" s="445" t="inlineStr">
        <is>
          <t>connectors named in the description</t>
        </is>
      </c>
      <c r="N14" s="450" t="inlineStr">
        <is>
          <t>TP5-120-480-4-300-BAA</t>
        </is>
      </c>
      <c r="R14" s="450" t="inlineStr">
        <is>
          <t>HPC-360-480-2-BAA</t>
        </is>
      </c>
      <c r="AD14" s="451" t="inlineStr">
        <is>
          <t>TP5-30-480-3</t>
        </is>
      </c>
      <c r="AE14" s="452" t="inlineStr">
        <is>
          <t>all_in_one</t>
        </is>
      </c>
    </row>
    <row r="15" ht="31.5" customHeight="1" s="254">
      <c r="A15" s="263" t="inlineStr">
        <is>
          <t>_kW60</t>
        </is>
      </c>
      <c r="B15" s="263" t="inlineStr">
        <is>
          <t>TP5-60-480-2</t>
        </is>
      </c>
      <c r="C15" s="271" t="inlineStr">
        <is>
          <t xml:space="preserve">60kW DCFC - 200 Amps / 1000VDC with CCS1 &amp; CCS1(~16ft) ; 4G Modem </t>
        </is>
      </c>
      <c r="D15" s="441" t="n">
        <v>28500</v>
      </c>
      <c r="E15" s="454" t="n">
        <v>60</v>
      </c>
      <c r="F15" s="443" t="n"/>
      <c r="I15" s="444" t="n">
        <v>2</v>
      </c>
      <c r="J15" s="445" t="inlineStr">
        <is>
          <t>connectors named in the description</t>
        </is>
      </c>
      <c r="R15" s="450" t="inlineStr">
        <is>
          <t>HPC-360-480-3-BAA</t>
        </is>
      </c>
      <c r="AD15" s="451" t="inlineStr">
        <is>
          <t>TP5-60-480-1</t>
        </is>
      </c>
      <c r="AE15" s="452" t="inlineStr">
        <is>
          <t>all_in_one</t>
        </is>
      </c>
    </row>
    <row r="16" ht="31.5" customHeight="1" s="254">
      <c r="A16" s="263" t="inlineStr">
        <is>
          <t>_kW60</t>
        </is>
      </c>
      <c r="B16" s="263" t="inlineStr">
        <is>
          <t>TP5-60-480-3</t>
        </is>
      </c>
      <c r="C16" s="271" t="inlineStr">
        <is>
          <t xml:space="preserve">60kW DCFC - 200 Amps / 1000VDC with CCS1 &amp; NACS(~16ft) ; 4G Modem </t>
        </is>
      </c>
      <c r="D16" s="441" t="n">
        <v>28500</v>
      </c>
      <c r="E16" s="454" t="n">
        <v>60</v>
      </c>
      <c r="F16" s="443" t="n"/>
      <c r="I16" s="444" t="n">
        <v>2</v>
      </c>
      <c r="J16" s="445" t="inlineStr">
        <is>
          <t>connectors named in the description</t>
        </is>
      </c>
      <c r="R16" s="450" t="inlineStr">
        <is>
          <t>HPC-360-480-4-BAA</t>
        </is>
      </c>
      <c r="AD16" s="451" t="inlineStr">
        <is>
          <t>TP5-60-480-2</t>
        </is>
      </c>
      <c r="AE16" s="452" t="inlineStr">
        <is>
          <t>all_in_one</t>
        </is>
      </c>
    </row>
    <row r="17" ht="31.5" customHeight="1" s="254">
      <c r="A17" s="263" t="inlineStr">
        <is>
          <t>_kW60</t>
        </is>
      </c>
      <c r="B17" s="263" t="inlineStr">
        <is>
          <t>TP5-60-480-4</t>
        </is>
      </c>
      <c r="C17" s="271" t="inlineStr">
        <is>
          <t xml:space="preserve">60kW DCFC - 200 Amps / 1000VDC with NACS &amp; NACS(~16ft) ; 4G Modem </t>
        </is>
      </c>
      <c r="D17" s="441" t="n">
        <v>28500</v>
      </c>
      <c r="E17" s="454" t="n">
        <v>60</v>
      </c>
      <c r="F17" s="443" t="n"/>
      <c r="I17" s="444" t="n">
        <v>2</v>
      </c>
      <c r="J17" s="445" t="inlineStr">
        <is>
          <t>connectors named in the description</t>
        </is>
      </c>
      <c r="AD17" s="451" t="inlineStr">
        <is>
          <t>TP5-60-480-3</t>
        </is>
      </c>
      <c r="AE17" s="452" t="inlineStr">
        <is>
          <t>all_in_one</t>
        </is>
      </c>
    </row>
    <row r="18" ht="31.5" customHeight="1" s="254">
      <c r="A18" s="263" t="inlineStr">
        <is>
          <t>_kW60</t>
        </is>
      </c>
      <c r="B18" s="263" t="inlineStr">
        <is>
          <t>CTX-AiO-60-2-200</t>
        </is>
      </c>
      <c r="C18" s="271" t="inlineStr">
        <is>
          <t xml:space="preserve">Gen 2 60kW DCFC - 200 Amps / 1000VDC with CCS1 &amp; CCS1(~16ft) ; 4G Modem </t>
        </is>
      </c>
      <c r="D18" s="441" t="n">
        <v>31350</v>
      </c>
      <c r="E18" s="454" t="n">
        <v>60</v>
      </c>
      <c r="F18" s="443" t="n"/>
      <c r="I18" s="444" t="n">
        <v>2</v>
      </c>
      <c r="J18" s="445" t="inlineStr">
        <is>
          <t>connectors named in the description</t>
        </is>
      </c>
      <c r="AD18" s="451" t="inlineStr">
        <is>
          <t>TP5-60-480-4</t>
        </is>
      </c>
      <c r="AE18" s="452" t="inlineStr">
        <is>
          <t>all_in_one</t>
        </is>
      </c>
    </row>
    <row r="19" ht="31.5" customHeight="1" s="254">
      <c r="A19" s="263" t="inlineStr">
        <is>
          <t>_kW60</t>
        </is>
      </c>
      <c r="B19" s="263" t="inlineStr">
        <is>
          <t>CTX-AiO-60-3-200</t>
        </is>
      </c>
      <c r="C19" s="271" t="inlineStr">
        <is>
          <t xml:space="preserve">Gen 2 60kW DCFC - 200 Amps / 1000VDC with CCS1 &amp; NACS(~16ft) ; 4G Modem </t>
        </is>
      </c>
      <c r="D19" s="441" t="n">
        <v>31350</v>
      </c>
      <c r="E19" s="454" t="n">
        <v>60</v>
      </c>
      <c r="F19" s="443" t="n"/>
      <c r="I19" s="444" t="n">
        <v>2</v>
      </c>
      <c r="J19" s="445" t="inlineStr">
        <is>
          <t>connectors named in the description</t>
        </is>
      </c>
      <c r="AD19" s="451" t="inlineStr">
        <is>
          <t>CTX-AiO-60-2-200</t>
        </is>
      </c>
      <c r="AE19" s="452" t="inlineStr">
        <is>
          <t>all_in_one</t>
        </is>
      </c>
    </row>
    <row r="20" ht="31.5" customHeight="1" s="254">
      <c r="A20" s="263" t="inlineStr">
        <is>
          <t>_kW60</t>
        </is>
      </c>
      <c r="B20" s="263" t="inlineStr">
        <is>
          <t>CTX-AiO-60-4-200</t>
        </is>
      </c>
      <c r="C20" s="271" t="inlineStr">
        <is>
          <t xml:space="preserve">Gen 2 60kW DCFC - 200 Amps / 1000VDC with NACS &amp; NACS(~16ft) ; 4G Modem </t>
        </is>
      </c>
      <c r="D20" s="441" t="n">
        <v>31350</v>
      </c>
      <c r="E20" s="454" t="n">
        <v>60</v>
      </c>
      <c r="F20" s="443" t="n"/>
      <c r="I20" s="444" t="n">
        <v>2</v>
      </c>
      <c r="J20" s="445" t="inlineStr">
        <is>
          <t>connectors named in the description</t>
        </is>
      </c>
      <c r="AD20" s="451" t="inlineStr">
        <is>
          <t>CTX-AiO-60-3-200</t>
        </is>
      </c>
      <c r="AE20" s="452" t="inlineStr">
        <is>
          <t>all_in_one</t>
        </is>
      </c>
    </row>
    <row r="21" ht="43.5" customHeight="1" s="254">
      <c r="A21" s="263" t="inlineStr">
        <is>
          <t>_kW120</t>
        </is>
      </c>
      <c r="B21" s="263" t="inlineStr">
        <is>
          <t>TP5-120-480-1</t>
        </is>
      </c>
      <c r="C21" s="271" t="inlineStr">
        <is>
          <t xml:space="preserve">120kW DCFC All In One Charger - 200 Amps / 1000VDC with CCS1 &amp; NACS(~16ft) ; Can charge 2 cars simultaneously with 60kW each ; 4G Modem </t>
        </is>
      </c>
      <c r="D21" s="441" t="n">
        <v>54000</v>
      </c>
      <c r="E21" s="454" t="n">
        <v>120</v>
      </c>
      <c r="F21" s="443" t="n"/>
      <c r="I21" s="444" t="n">
        <v>2</v>
      </c>
      <c r="J21" s="445" t="inlineStr">
        <is>
          <t>connectors named in the description</t>
        </is>
      </c>
      <c r="AD21" s="451" t="inlineStr">
        <is>
          <t>CTX-AiO-60-4-200</t>
        </is>
      </c>
      <c r="AE21" s="452" t="inlineStr">
        <is>
          <t>all_in_one</t>
        </is>
      </c>
    </row>
    <row r="22" ht="43.5" customHeight="1" s="254">
      <c r="A22" s="263" t="inlineStr">
        <is>
          <t>_kW120</t>
        </is>
      </c>
      <c r="B22" s="263" t="inlineStr">
        <is>
          <t>TP5-120-480-2</t>
        </is>
      </c>
      <c r="C22" s="271" t="inlineStr">
        <is>
          <t xml:space="preserve">120kW DCFC All In One Charger - 200 Amps / 1000VDC with CCS1 &amp; CCS1(~16ft); Can charge 2 cars simultaneously with 60kW each ; 4G Modem </t>
        </is>
      </c>
      <c r="D22" s="441" t="n">
        <v>54000</v>
      </c>
      <c r="E22" s="454" t="n">
        <v>120</v>
      </c>
      <c r="F22" s="443" t="n"/>
      <c r="I22" s="444" t="n">
        <v>2</v>
      </c>
      <c r="J22" s="445" t="inlineStr">
        <is>
          <t>connectors named in the description</t>
        </is>
      </c>
      <c r="AD22" s="451" t="inlineStr">
        <is>
          <t>TP5-120-480-1</t>
        </is>
      </c>
      <c r="AE22" s="452" t="inlineStr">
        <is>
          <t>all_in_one</t>
        </is>
      </c>
    </row>
    <row r="23" ht="43.5" customHeight="1" s="254">
      <c r="A23" s="263" t="inlineStr">
        <is>
          <t>_kW120</t>
        </is>
      </c>
      <c r="B23" s="263" t="inlineStr">
        <is>
          <t>TP5-120-480-2-300</t>
        </is>
      </c>
      <c r="C23" s="271" t="inlineStr">
        <is>
          <t xml:space="preserve">120kW DCFC All In One Charger - 350A Cable / 1000VDC with CCS1 &amp; CCS1(~16ft); Can charge 2 cars simultaneously with 60kW each ; 4G Modem </t>
        </is>
      </c>
      <c r="D23" s="441" t="n">
        <v>54000</v>
      </c>
      <c r="E23" s="454" t="n">
        <v>120</v>
      </c>
      <c r="F23" s="443" t="n"/>
      <c r="I23" s="444" t="n">
        <v>2</v>
      </c>
      <c r="J23" s="445" t="inlineStr">
        <is>
          <t>connectors named in the description</t>
        </is>
      </c>
      <c r="AD23" s="451" t="inlineStr">
        <is>
          <t>TP5-120-480-2</t>
        </is>
      </c>
      <c r="AE23" s="452" t="inlineStr">
        <is>
          <t>all_in_one</t>
        </is>
      </c>
    </row>
    <row r="24" ht="43.5" customHeight="1" s="254">
      <c r="A24" s="263" t="inlineStr">
        <is>
          <t>_kW120</t>
        </is>
      </c>
      <c r="B24" s="263" t="inlineStr">
        <is>
          <t>TP5-120-480-3-300</t>
        </is>
      </c>
      <c r="C24" s="271" t="inlineStr">
        <is>
          <t xml:space="preserve">120kW DCFC All In One Charger - 1000VDC, Cables: 350A CCS1 &amp; 400A NACS (~16ft); Can charge 2 cars simultaneously with 60kW each ; 4G Modem </t>
        </is>
      </c>
      <c r="D24" s="441" t="n">
        <v>54000</v>
      </c>
      <c r="E24" s="454" t="n">
        <v>120</v>
      </c>
      <c r="F24" s="443" t="n"/>
      <c r="I24" s="444" t="n">
        <v>2</v>
      </c>
      <c r="J24" s="445" t="inlineStr">
        <is>
          <t>manual — description does not state the count</t>
        </is>
      </c>
      <c r="AD24" s="451" t="inlineStr">
        <is>
          <t>TP5-120-480-2-300</t>
        </is>
      </c>
      <c r="AE24" s="452" t="inlineStr">
        <is>
          <t>all_in_one</t>
        </is>
      </c>
    </row>
    <row r="25" ht="31.5" customHeight="1" s="254">
      <c r="A25" s="263" t="inlineStr">
        <is>
          <t>_kW120</t>
        </is>
      </c>
      <c r="B25" s="263" t="inlineStr">
        <is>
          <t>CTX-AiO-120-2-350</t>
        </is>
      </c>
      <c r="C25" s="271" t="inlineStr">
        <is>
          <t>Gen3 120kW CCS1 350A + CCS1 350A ; Cable Management + CC</t>
        </is>
      </c>
      <c r="D25" s="441" t="n">
        <v>59400</v>
      </c>
      <c r="E25" s="454" t="n">
        <v>120</v>
      </c>
      <c r="F25" s="443" t="n"/>
      <c r="I25" s="444" t="n">
        <v>2</v>
      </c>
      <c r="J25" s="445" t="inlineStr">
        <is>
          <t>connectors named in the description</t>
        </is>
      </c>
      <c r="AD25" s="451" t="inlineStr">
        <is>
          <t>TP5-120-480-3-300</t>
        </is>
      </c>
      <c r="AE25" s="452" t="inlineStr">
        <is>
          <t>all_in_one</t>
        </is>
      </c>
    </row>
    <row r="26" ht="31.5" customHeight="1" s="254">
      <c r="A26" s="263" t="inlineStr">
        <is>
          <t>_kW120</t>
        </is>
      </c>
      <c r="B26" s="263" t="inlineStr">
        <is>
          <t>CTX-AiO-120-3-350</t>
        </is>
      </c>
      <c r="C26" s="271" t="inlineStr">
        <is>
          <t>Gen3 120kW CCS1 350A + NACS 350A   ; Cable Management + CC</t>
        </is>
      </c>
      <c r="D26" s="441" t="n">
        <v>59400</v>
      </c>
      <c r="E26" s="454" t="n">
        <v>120</v>
      </c>
      <c r="F26" s="443" t="n"/>
      <c r="I26" s="444" t="n">
        <v>2</v>
      </c>
      <c r="J26" s="445" t="inlineStr">
        <is>
          <t>connectors named in the description</t>
        </is>
      </c>
      <c r="AD26" s="451" t="inlineStr">
        <is>
          <t>CTX-AiO-120-2-350</t>
        </is>
      </c>
      <c r="AE26" s="452" t="inlineStr">
        <is>
          <t>all_in_one</t>
        </is>
      </c>
    </row>
    <row r="27" ht="31.5" customHeight="1" s="254">
      <c r="A27" s="263" t="inlineStr">
        <is>
          <t>_kW120</t>
        </is>
      </c>
      <c r="B27" s="263" t="inlineStr">
        <is>
          <t>CTX-AiO-120-4-350</t>
        </is>
      </c>
      <c r="C27" s="271" t="inlineStr">
        <is>
          <t>Gen3 120kW NACS 350A + NACS 350A  ; Cable Management + CC</t>
        </is>
      </c>
      <c r="D27" s="441" t="n">
        <v>59400</v>
      </c>
      <c r="E27" s="454" t="n">
        <v>120</v>
      </c>
      <c r="F27" s="443" t="n"/>
      <c r="I27" s="444" t="n">
        <v>2</v>
      </c>
      <c r="J27" s="445" t="inlineStr">
        <is>
          <t>connectors named in the description</t>
        </is>
      </c>
      <c r="AD27" s="451" t="inlineStr">
        <is>
          <t>CTX-AiO-120-3-350</t>
        </is>
      </c>
      <c r="AE27" s="452" t="inlineStr">
        <is>
          <t>all_in_one</t>
        </is>
      </c>
    </row>
    <row r="28" ht="15" customHeight="1" s="254">
      <c r="A28" s="263" t="inlineStr">
        <is>
          <t>_kW120</t>
        </is>
      </c>
      <c r="B28" s="263" t="inlineStr">
        <is>
          <t>CTX-AiO-120-5-350</t>
        </is>
      </c>
      <c r="C28" s="263" t="inlineStr">
        <is>
          <t>Gen3 120kW Single CCS1 350A  ; Cable Management + CC</t>
        </is>
      </c>
      <c r="D28" s="441" t="n">
        <v>59400</v>
      </c>
      <c r="E28" s="454" t="n">
        <v>120</v>
      </c>
      <c r="F28" s="443" t="n"/>
      <c r="I28" s="444" t="n">
        <v>1</v>
      </c>
      <c r="J28" s="445" t="inlineStr">
        <is>
          <t>description says Single</t>
        </is>
      </c>
      <c r="AD28" s="451" t="inlineStr">
        <is>
          <t>CTX-AiO-120-4-350</t>
        </is>
      </c>
      <c r="AE28" s="452" t="inlineStr">
        <is>
          <t>all_in_one</t>
        </is>
      </c>
    </row>
    <row r="29" ht="15" customHeight="1" s="254">
      <c r="A29" s="263" t="inlineStr">
        <is>
          <t>_kW120</t>
        </is>
      </c>
      <c r="B29" s="263" t="inlineStr">
        <is>
          <t>CTX-AiO-120-6-350</t>
        </is>
      </c>
      <c r="C29" s="263" t="inlineStr">
        <is>
          <t>Gen3 120kW Single NACS 350A  ; Cable Management + CC</t>
        </is>
      </c>
      <c r="D29" s="441" t="n">
        <v>59400</v>
      </c>
      <c r="E29" s="454" t="n">
        <v>120</v>
      </c>
      <c r="F29" s="443" t="n"/>
      <c r="I29" s="444" t="n">
        <v>1</v>
      </c>
      <c r="J29" s="445" t="inlineStr">
        <is>
          <t>description says Single</t>
        </is>
      </c>
      <c r="AD29" s="451" t="inlineStr">
        <is>
          <t>CTX-AiO-120-5-350</t>
        </is>
      </c>
      <c r="AE29" s="452" t="inlineStr">
        <is>
          <t>all_in_one</t>
        </is>
      </c>
    </row>
    <row r="30" ht="55.5" customHeight="1" s="254">
      <c r="A30" s="263" t="inlineStr">
        <is>
          <t>_kW160</t>
        </is>
      </c>
      <c r="B30" s="263" t="inlineStr">
        <is>
          <t>TP5-160-480-1</t>
        </is>
      </c>
      <c r="C30" s="271" t="inlineStr">
        <is>
          <t>160kW DCFC All In One Charger - 200 Amps / 1000VDC with CCS1 &amp; NACS(~16ft); It can dispense 200A on single connector and can charge 2 cars simultaneously with 80kW eac</t>
        </is>
      </c>
      <c r="D30" s="441" t="n">
        <v>57000</v>
      </c>
      <c r="E30" s="454" t="n">
        <v>160</v>
      </c>
      <c r="F30" s="443" t="n"/>
      <c r="I30" s="444" t="n">
        <v>1</v>
      </c>
      <c r="J30" s="445" t="inlineStr">
        <is>
          <t>description says Single</t>
        </is>
      </c>
      <c r="AD30" s="451" t="inlineStr">
        <is>
          <t>CTX-AiO-120-6-350</t>
        </is>
      </c>
      <c r="AE30" s="452" t="inlineStr">
        <is>
          <t>all_in_one</t>
        </is>
      </c>
    </row>
    <row r="31" ht="55.5" customHeight="1" s="254">
      <c r="A31" s="263" t="inlineStr">
        <is>
          <t>_kW160</t>
        </is>
      </c>
      <c r="B31" s="263" t="inlineStr">
        <is>
          <t>TP5-160-480-2</t>
        </is>
      </c>
      <c r="C31" s="271" t="inlineStr">
        <is>
          <t>160kW DCFC All In One Charger - 200 Amps / 1000VDC with CCS1 &amp; CCS1(~16ft); It can dispense 200A on single connector and can charge 2 cars simultaneously with 80kW each ;</t>
        </is>
      </c>
      <c r="D31" s="441" t="n">
        <v>57000</v>
      </c>
      <c r="E31" s="454" t="n">
        <v>160</v>
      </c>
      <c r="F31" s="443" t="n"/>
      <c r="I31" s="444" t="n">
        <v>1</v>
      </c>
      <c r="J31" s="445" t="inlineStr">
        <is>
          <t>description says Single</t>
        </is>
      </c>
      <c r="AD31" s="451" t="inlineStr">
        <is>
          <t>TP5-160-480-1</t>
        </is>
      </c>
      <c r="AE31" s="452" t="inlineStr">
        <is>
          <t>all_in_one</t>
        </is>
      </c>
    </row>
    <row r="32" ht="55.5" customHeight="1" s="254">
      <c r="A32" s="263" t="inlineStr">
        <is>
          <t>_kW160</t>
        </is>
      </c>
      <c r="B32" s="263" t="inlineStr">
        <is>
          <t>TP5-160-480-3</t>
        </is>
      </c>
      <c r="C32" s="271" t="inlineStr">
        <is>
          <t xml:space="preserve">160kW DCFC All In One Charger - 200 Amps / 1000VDC with CCS1 &amp; NACS (~16ft); It can dispense 200A on single connector and can charge 2 cars simultaneously with 80kW each </t>
        </is>
      </c>
      <c r="D32" s="441" t="n">
        <v>57000</v>
      </c>
      <c r="E32" s="454" t="n">
        <v>160</v>
      </c>
      <c r="F32" s="443" t="n"/>
      <c r="I32" s="444" t="n">
        <v>1</v>
      </c>
      <c r="J32" s="445" t="inlineStr">
        <is>
          <t>description says Single</t>
        </is>
      </c>
      <c r="AD32" s="451" t="inlineStr">
        <is>
          <t>TP5-160-480-2</t>
        </is>
      </c>
      <c r="AE32" s="452" t="inlineStr">
        <is>
          <t>all_in_one</t>
        </is>
      </c>
    </row>
    <row r="33" ht="43.5" customHeight="1" s="254">
      <c r="A33" s="263" t="inlineStr">
        <is>
          <t>_kW160</t>
        </is>
      </c>
      <c r="B33" s="263" t="inlineStr">
        <is>
          <t>TP5-160-480-2-300</t>
        </is>
      </c>
      <c r="C33" s="271" t="inlineStr">
        <is>
          <t>160kW DCFC All In One Charger - 350A Cable / 1000VDC with CCS1 &amp; CCS1(~16ft); Can charge 2 cars simultaneously with 80kW each ; 4G Modem</t>
        </is>
      </c>
      <c r="D33" s="441" t="n">
        <v>57000</v>
      </c>
      <c r="E33" s="454" t="n">
        <v>160</v>
      </c>
      <c r="F33" s="443" t="n"/>
      <c r="I33" s="444" t="n">
        <v>2</v>
      </c>
      <c r="J33" s="445" t="inlineStr">
        <is>
          <t>connectors named in the description</t>
        </is>
      </c>
      <c r="AD33" s="451" t="inlineStr">
        <is>
          <t>TP5-160-480-3</t>
        </is>
      </c>
      <c r="AE33" s="452" t="inlineStr">
        <is>
          <t>all_in_one</t>
        </is>
      </c>
    </row>
    <row r="34" ht="55.5" customHeight="1" s="254">
      <c r="A34" s="263" t="inlineStr">
        <is>
          <t>_kW160</t>
        </is>
      </c>
      <c r="B34" s="263" t="inlineStr">
        <is>
          <t>HPC-160-480-1</t>
        </is>
      </c>
      <c r="C34" s="271" t="inlineStr">
        <is>
          <t xml:space="preserve">160kW HPC All In One Charger - 400 Amps / 1000VDC with Liquid Cooled Connector for CCS1(~14ft) &amp; NACS(~16ft) ; It can deliver 400A on the CCS coonnector. Can charge 2 </t>
        </is>
      </c>
      <c r="D34" s="441" t="n">
        <v>68000</v>
      </c>
      <c r="E34" s="454" t="n">
        <v>160</v>
      </c>
      <c r="F34" s="443" t="n"/>
      <c r="I34" s="444" t="n">
        <v>2</v>
      </c>
      <c r="J34" s="445" t="inlineStr">
        <is>
          <t>connectors named in the description</t>
        </is>
      </c>
      <c r="AD34" s="451" t="inlineStr">
        <is>
          <t>TP5-160-480-2-300</t>
        </is>
      </c>
      <c r="AE34" s="452" t="inlineStr">
        <is>
          <t>all_in_one</t>
        </is>
      </c>
    </row>
    <row r="35" ht="55.5" customHeight="1" s="254">
      <c r="A35" s="263" t="inlineStr">
        <is>
          <t>_kW160</t>
        </is>
      </c>
      <c r="B35" s="263" t="inlineStr">
        <is>
          <t>HPC-160-480-2</t>
        </is>
      </c>
      <c r="C35" s="271" t="inlineStr">
        <is>
          <t>160kW HPC All In One Charger - 400 Amps / 1000VDC with Liquid Cooled Connector for CCS1(~14ft) &amp; NACS(~16ft) ; It can deliver 400A on the CCS coonnector. Also can char</t>
        </is>
      </c>
      <c r="D35" s="441" t="n">
        <v>70000</v>
      </c>
      <c r="E35" s="454" t="n">
        <v>160</v>
      </c>
      <c r="F35" s="443" t="n"/>
      <c r="I35" s="444" t="n">
        <v>2</v>
      </c>
      <c r="J35" s="445" t="inlineStr">
        <is>
          <t>connectors named in the description</t>
        </is>
      </c>
      <c r="AD35" s="451" t="inlineStr">
        <is>
          <t>HPC-160-480-1</t>
        </is>
      </c>
      <c r="AE35" s="452" t="inlineStr">
        <is>
          <t>all_in_one</t>
        </is>
      </c>
    </row>
    <row r="36" ht="31.5" customHeight="1" s="254">
      <c r="A36" s="263" t="inlineStr">
        <is>
          <t>_kW160</t>
        </is>
      </c>
      <c r="B36" s="263" t="inlineStr">
        <is>
          <t>CTX-AiO-160-2-350</t>
        </is>
      </c>
      <c r="C36" s="271" t="inlineStr">
        <is>
          <t>Gen3 160kW CCS1 350A + CCS1 350A ; Cable Management + CC</t>
        </is>
      </c>
      <c r="D36" s="441" t="n">
        <v>68200</v>
      </c>
      <c r="E36" s="454" t="n">
        <v>160</v>
      </c>
      <c r="F36" s="443" t="n"/>
      <c r="I36" s="444" t="n">
        <v>2</v>
      </c>
      <c r="J36" s="445" t="inlineStr">
        <is>
          <t>connectors named in the description</t>
        </is>
      </c>
      <c r="AD36" s="451" t="inlineStr">
        <is>
          <t>HPC-160-480-2</t>
        </is>
      </c>
      <c r="AE36" s="452" t="inlineStr">
        <is>
          <t>all_in_one</t>
        </is>
      </c>
    </row>
    <row r="37" ht="31.5" customHeight="1" s="254">
      <c r="A37" s="263" t="inlineStr">
        <is>
          <t>_kW160</t>
        </is>
      </c>
      <c r="B37" s="263" t="inlineStr">
        <is>
          <t>CTX-AiO-160-3-350</t>
        </is>
      </c>
      <c r="C37" s="271" t="inlineStr">
        <is>
          <t>Gen3 160kW CCS1 350A + NACS 350A   ; Cable Management + CC</t>
        </is>
      </c>
      <c r="D37" s="441" t="n">
        <v>68200</v>
      </c>
      <c r="E37" s="454" t="n">
        <v>160</v>
      </c>
      <c r="F37" s="443" t="n"/>
      <c r="I37" s="444" t="n">
        <v>2</v>
      </c>
      <c r="J37" s="445" t="inlineStr">
        <is>
          <t>connectors named in the description</t>
        </is>
      </c>
      <c r="AD37" s="451" t="inlineStr">
        <is>
          <t>CTX-AiO-160-2-350</t>
        </is>
      </c>
      <c r="AE37" s="452" t="inlineStr">
        <is>
          <t>all_in_one</t>
        </is>
      </c>
    </row>
    <row r="38" ht="31.5" customHeight="1" s="254">
      <c r="A38" s="263" t="inlineStr">
        <is>
          <t>_kW160</t>
        </is>
      </c>
      <c r="B38" s="263" t="inlineStr">
        <is>
          <t>CTX-AiO-160-4-350</t>
        </is>
      </c>
      <c r="C38" s="271" t="inlineStr">
        <is>
          <t>Gen3 160kW NACS 350A + NACS 350A  ; Cable Management + CC</t>
        </is>
      </c>
      <c r="D38" s="441" t="n">
        <v>68200</v>
      </c>
      <c r="E38" s="454" t="n">
        <v>160</v>
      </c>
      <c r="F38" s="443" t="n"/>
      <c r="I38" s="444" t="n">
        <v>2</v>
      </c>
      <c r="J38" s="445" t="inlineStr">
        <is>
          <t>connectors named in the description</t>
        </is>
      </c>
      <c r="AD38" s="451" t="inlineStr">
        <is>
          <t>CTX-AiO-160-3-350</t>
        </is>
      </c>
      <c r="AE38" s="452" t="inlineStr">
        <is>
          <t>all_in_one</t>
        </is>
      </c>
    </row>
    <row r="39" ht="15" customHeight="1" s="254">
      <c r="A39" s="263" t="inlineStr">
        <is>
          <t>_kW160</t>
        </is>
      </c>
      <c r="B39" s="263" t="inlineStr">
        <is>
          <t>CTX-AiO-160-5-350</t>
        </is>
      </c>
      <c r="C39" s="263" t="inlineStr">
        <is>
          <t>Gen3 160kW Single CCS1 350A  ; Cable Management + CC</t>
        </is>
      </c>
      <c r="D39" s="441" t="n">
        <v>68200</v>
      </c>
      <c r="E39" s="454" t="n">
        <v>160</v>
      </c>
      <c r="F39" s="443" t="n"/>
      <c r="I39" s="444" t="n">
        <v>1</v>
      </c>
      <c r="J39" s="445" t="inlineStr">
        <is>
          <t>description says Single</t>
        </is>
      </c>
      <c r="AD39" s="451" t="inlineStr">
        <is>
          <t>CTX-AiO-160-4-350</t>
        </is>
      </c>
      <c r="AE39" s="452" t="inlineStr">
        <is>
          <t>all_in_one</t>
        </is>
      </c>
    </row>
    <row r="40" ht="15" customHeight="1" s="254">
      <c r="A40" s="263" t="inlineStr">
        <is>
          <t>_kW160</t>
        </is>
      </c>
      <c r="B40" s="263" t="inlineStr">
        <is>
          <t>CTX-AiO-160-6-350</t>
        </is>
      </c>
      <c r="C40" s="263" t="inlineStr">
        <is>
          <t>Gen3 160kW Single NACS 350A  ; Cable Management + CC</t>
        </is>
      </c>
      <c r="D40" s="441" t="n">
        <v>68200</v>
      </c>
      <c r="E40" s="454" t="n">
        <v>160</v>
      </c>
      <c r="F40" s="443" t="n"/>
      <c r="I40" s="444" t="n">
        <v>1</v>
      </c>
      <c r="J40" s="445" t="inlineStr">
        <is>
          <t>description says Single</t>
        </is>
      </c>
      <c r="AD40" s="451" t="inlineStr">
        <is>
          <t>CTX-AiO-160-5-350</t>
        </is>
      </c>
      <c r="AE40" s="452" t="inlineStr">
        <is>
          <t>all_in_one</t>
        </is>
      </c>
    </row>
    <row r="41" ht="55.5" customHeight="1" s="254">
      <c r="A41" s="263" t="inlineStr">
        <is>
          <t>_kW180</t>
        </is>
      </c>
      <c r="B41" s="263" t="inlineStr">
        <is>
          <t>TP5-180-480-1</t>
        </is>
      </c>
      <c r="C41" s="271" t="inlineStr">
        <is>
          <t>180kW DCFC All In One Charger - 200 Amps / 1000VDC with CCS1 &amp; NACS(~16ft); Can charge 2 cars simultaneously with 90kW each or 120kW on CCS1 and 60kW on NACS; 4G Mo</t>
        </is>
      </c>
      <c r="D41" s="441" t="n">
        <v>62000</v>
      </c>
      <c r="E41" s="454" t="n">
        <v>180</v>
      </c>
      <c r="F41" s="443" t="n"/>
      <c r="I41" s="444" t="n">
        <v>2</v>
      </c>
      <c r="J41" s="445" t="inlineStr">
        <is>
          <t>connectors named in the description</t>
        </is>
      </c>
      <c r="AD41" s="451" t="inlineStr">
        <is>
          <t>CTX-AiO-160-6-350</t>
        </is>
      </c>
      <c r="AE41" s="452" t="inlineStr">
        <is>
          <t>all_in_one</t>
        </is>
      </c>
    </row>
    <row r="42" ht="43.5" customHeight="1" s="254">
      <c r="A42" s="263" t="inlineStr">
        <is>
          <t>_kW180</t>
        </is>
      </c>
      <c r="B42" s="263" t="inlineStr">
        <is>
          <t>TP5-180-480-2</t>
        </is>
      </c>
      <c r="C42" s="271" t="inlineStr">
        <is>
          <t xml:space="preserve">180kW DCFC All In One Charger - 200 Amps / 1000VDC with CCS1 &amp; CCS1(~16ft); Can charge 2 cars simultaneously with 90kW each ; 4G Modem </t>
        </is>
      </c>
      <c r="D42" s="441" t="n">
        <v>62000</v>
      </c>
      <c r="E42" s="454" t="n">
        <v>180</v>
      </c>
      <c r="F42" s="443" t="n"/>
      <c r="I42" s="444" t="n">
        <v>2</v>
      </c>
      <c r="J42" s="445" t="inlineStr">
        <is>
          <t>connectors named in the description</t>
        </is>
      </c>
      <c r="AD42" s="451" t="inlineStr">
        <is>
          <t>TP5-180-480-1</t>
        </is>
      </c>
      <c r="AE42" s="452" t="inlineStr">
        <is>
          <t>all_in_one</t>
        </is>
      </c>
    </row>
    <row r="43" ht="43.5" customHeight="1" s="254">
      <c r="A43" s="263" t="inlineStr">
        <is>
          <t>_kW180</t>
        </is>
      </c>
      <c r="B43" s="263" t="inlineStr">
        <is>
          <t>TP5-180-480-2-300</t>
        </is>
      </c>
      <c r="C43" s="271" t="inlineStr">
        <is>
          <t xml:space="preserve">180kW DCFC All In One Charger - 350A Cable / 1000VDC with CCS1 &amp; CCS1(~16ft); Can charge 2 cars simultaneously with 90kW each ; 4G Modem </t>
        </is>
      </c>
      <c r="D43" s="441" t="n">
        <v>62000</v>
      </c>
      <c r="E43" s="454" t="n">
        <v>180</v>
      </c>
      <c r="F43" s="443" t="n"/>
      <c r="I43" s="444" t="n">
        <v>2</v>
      </c>
      <c r="J43" s="445" t="inlineStr">
        <is>
          <t>connectors named in the description</t>
        </is>
      </c>
      <c r="AD43" s="451" t="inlineStr">
        <is>
          <t>TP5-180-480-2</t>
        </is>
      </c>
      <c r="AE43" s="452" t="inlineStr">
        <is>
          <t>all_in_one</t>
        </is>
      </c>
    </row>
    <row r="44" ht="43.5" customHeight="1" s="254">
      <c r="A44" s="263" t="inlineStr">
        <is>
          <t>_kW180</t>
        </is>
      </c>
      <c r="B44" s="263" t="inlineStr">
        <is>
          <t>TP5-180-480-3-300</t>
        </is>
      </c>
      <c r="C44" s="271" t="inlineStr">
        <is>
          <t xml:space="preserve">180kW DCFC All In One Charger - 1000VDC, Cables: 350A CCS1 &amp; 400A NACS (~16ft); Can charge 2 cars simultaneously with 90kW each ; 4G Modem </t>
        </is>
      </c>
      <c r="D44" s="441" t="n">
        <v>62000</v>
      </c>
      <c r="E44" s="454" t="n">
        <v>180</v>
      </c>
      <c r="F44" s="443" t="n"/>
      <c r="I44" s="444" t="n">
        <v>2</v>
      </c>
      <c r="J44" s="445" t="inlineStr">
        <is>
          <t>manual — description does not state the count</t>
        </is>
      </c>
      <c r="AD44" s="451" t="inlineStr">
        <is>
          <t>TP5-180-480-2-300</t>
        </is>
      </c>
      <c r="AE44" s="452" t="inlineStr">
        <is>
          <t>all_in_one</t>
        </is>
      </c>
    </row>
    <row r="45" ht="43.5" customHeight="1" s="254">
      <c r="A45" s="263" t="inlineStr">
        <is>
          <t>_kW180</t>
        </is>
      </c>
      <c r="B45" s="263" t="inlineStr">
        <is>
          <t>TP5-180-480-2-300-CL20</t>
        </is>
      </c>
      <c r="C45" s="271" t="inlineStr">
        <is>
          <t xml:space="preserve">180kW DCFC All In One Charger - 350A Cable / 1000VDC with CCS1 &amp; CCS1(~20ft); Can charge 2 cars simultaneously with 90kW each ; 4G Modem </t>
        </is>
      </c>
      <c r="D45" s="441" t="n">
        <v>62000</v>
      </c>
      <c r="E45" s="454" t="n">
        <v>180</v>
      </c>
      <c r="F45" s="443" t="n"/>
      <c r="I45" s="444" t="n">
        <v>2</v>
      </c>
      <c r="J45" s="445" t="inlineStr">
        <is>
          <t>connectors named in the description</t>
        </is>
      </c>
      <c r="AD45" s="451" t="inlineStr">
        <is>
          <t>TP5-180-480-3-300</t>
        </is>
      </c>
      <c r="AE45" s="452" t="inlineStr">
        <is>
          <t>all_in_one</t>
        </is>
      </c>
    </row>
    <row r="46" ht="43.5" customHeight="1" s="254">
      <c r="A46" s="263" t="inlineStr">
        <is>
          <t>_kW240</t>
        </is>
      </c>
      <c r="B46" s="263" t="inlineStr">
        <is>
          <t>TP5-240-480-2-300</t>
        </is>
      </c>
      <c r="C46" s="271" t="inlineStr">
        <is>
          <t xml:space="preserve">240kW DCFC All In One Charger - 350A Cable / 1000VDC Dual CCS1 ; Can charge 2 cars simultaneously with 120kW each ; 4G Modem </t>
        </is>
      </c>
      <c r="D46" s="441" t="n">
        <v>80000</v>
      </c>
      <c r="E46" s="454" t="n">
        <v>240</v>
      </c>
      <c r="F46" s="443" t="n"/>
      <c r="I46" s="444" t="n">
        <v>2</v>
      </c>
      <c r="J46" s="445" t="inlineStr">
        <is>
          <t>description says Dual</t>
        </is>
      </c>
      <c r="AD46" s="451" t="inlineStr">
        <is>
          <t>TP5-180-480-2-300-CL20</t>
        </is>
      </c>
      <c r="AE46" s="452" t="inlineStr">
        <is>
          <t>all_in_one</t>
        </is>
      </c>
    </row>
    <row r="47" ht="43.5" customHeight="1" s="254">
      <c r="A47" s="263" t="inlineStr">
        <is>
          <t>_kW240</t>
        </is>
      </c>
      <c r="B47" s="263" t="inlineStr">
        <is>
          <t>TP5-240-480-2-400</t>
        </is>
      </c>
      <c r="C47" s="271" t="inlineStr">
        <is>
          <t xml:space="preserve">240kW DCFC All In One Charger - 1000VDC, Cables: 350A CCS1 &amp; 400A NACS; Can charge 2 cars simultaneously with 120kW each ; 4G Modem </t>
        </is>
      </c>
      <c r="D47" s="441" t="n">
        <v>80000</v>
      </c>
      <c r="E47" s="454" t="n">
        <v>240</v>
      </c>
      <c r="F47" s="443" t="n"/>
      <c r="I47" s="444" t="n">
        <v>2</v>
      </c>
      <c r="J47" s="445" t="inlineStr">
        <is>
          <t>manual — description does not state the count</t>
        </is>
      </c>
      <c r="AD47" s="451" t="inlineStr">
        <is>
          <t>TP5-240-480-2-300</t>
        </is>
      </c>
      <c r="AE47" s="452" t="inlineStr">
        <is>
          <t>all_in_one</t>
        </is>
      </c>
    </row>
    <row r="48" ht="55.5" customHeight="1" s="254">
      <c r="A48" s="263" t="inlineStr">
        <is>
          <t>_kW240</t>
        </is>
      </c>
      <c r="B48" s="263" t="inlineStr">
        <is>
          <t>HPC-240-480-1</t>
        </is>
      </c>
      <c r="C48" s="271" t="inlineStr">
        <is>
          <t>240kW HPC All In One Charger - 500 Amps / 1000VDC with Liquid Cooled Connector for CCS1 &amp; NACS(~14ft) ; Can deliver 500A on CCS coonnector. Can charge 2 cars simultane</t>
        </is>
      </c>
      <c r="D48" s="441" t="n">
        <v>98000</v>
      </c>
      <c r="E48" s="454" t="n">
        <v>240</v>
      </c>
      <c r="F48" s="443" t="n"/>
      <c r="I48" s="444" t="n">
        <v>2</v>
      </c>
      <c r="J48" s="445" t="inlineStr">
        <is>
          <t>connectors named in the description</t>
        </is>
      </c>
      <c r="AD48" s="451" t="inlineStr">
        <is>
          <t>TP5-240-480-2-400</t>
        </is>
      </c>
      <c r="AE48" s="452" t="inlineStr">
        <is>
          <t>all_in_one</t>
        </is>
      </c>
    </row>
    <row r="49" ht="55.5" customHeight="1" s="254">
      <c r="A49" s="263" t="inlineStr">
        <is>
          <t>_kW240</t>
        </is>
      </c>
      <c r="B49" s="263" t="inlineStr">
        <is>
          <t>HPC-240-480-2</t>
        </is>
      </c>
      <c r="C49" s="271" t="inlineStr">
        <is>
          <t>240kW HPC All In One Charger - 500 Amps / 1000VDC with Liquid Cooled Connector for Dual CCS1 ; Can deliver 450A on one CCS coonnector and 250A on each connector if used s</t>
        </is>
      </c>
      <c r="D49" s="441" t="n">
        <v>98000</v>
      </c>
      <c r="E49" s="454" t="n">
        <v>240</v>
      </c>
      <c r="F49" s="443" t="n"/>
      <c r="I49" s="444" t="n">
        <v>2</v>
      </c>
      <c r="J49" s="445" t="inlineStr">
        <is>
          <t>description says Dual</t>
        </is>
      </c>
      <c r="AD49" s="451" t="inlineStr">
        <is>
          <t>HPC-240-480-1</t>
        </is>
      </c>
      <c r="AE49" s="452" t="inlineStr">
        <is>
          <t>all_in_one</t>
        </is>
      </c>
    </row>
    <row r="50" ht="15" customHeight="1" s="254">
      <c r="A50" s="263" t="inlineStr">
        <is>
          <t>_kW240</t>
        </is>
      </c>
      <c r="B50" s="263" t="inlineStr">
        <is>
          <t>CTX-AiO-240-2-300</t>
        </is>
      </c>
      <c r="C50" s="263" t="inlineStr">
        <is>
          <t>Gen3 240kW CCS1 350A + CCS1 350A; Cable Management + CC</t>
        </is>
      </c>
      <c r="D50" s="441" t="n">
        <v>88000</v>
      </c>
      <c r="E50" s="454" t="n">
        <v>240</v>
      </c>
      <c r="F50" s="443" t="n"/>
      <c r="I50" s="444" t="n">
        <v>2</v>
      </c>
      <c r="J50" s="445" t="inlineStr">
        <is>
          <t>connectors named in the description</t>
        </is>
      </c>
      <c r="AD50" s="451" t="inlineStr">
        <is>
          <t>HPC-240-480-2</t>
        </is>
      </c>
      <c r="AE50" s="452" t="inlineStr">
        <is>
          <t>all_in_one</t>
        </is>
      </c>
    </row>
    <row r="51" ht="15" customHeight="1" s="254">
      <c r="A51" s="263" t="inlineStr">
        <is>
          <t>_kW240</t>
        </is>
      </c>
      <c r="B51" s="263" t="inlineStr">
        <is>
          <t>CTX-AiO-240-3-300</t>
        </is>
      </c>
      <c r="C51" s="263" t="inlineStr">
        <is>
          <t>Gen3 240kW CCS1 350A + NACS 350A; Cable Management + CC</t>
        </is>
      </c>
      <c r="D51" s="441" t="n">
        <v>88000</v>
      </c>
      <c r="E51" s="454" t="n">
        <v>240</v>
      </c>
      <c r="F51" s="443" t="n"/>
      <c r="I51" s="444" t="n">
        <v>2</v>
      </c>
      <c r="J51" s="445" t="inlineStr">
        <is>
          <t>connectors named in the description</t>
        </is>
      </c>
      <c r="AD51" s="451" t="inlineStr">
        <is>
          <t>CTX-AiO-240-2-300</t>
        </is>
      </c>
      <c r="AE51" s="452" t="inlineStr">
        <is>
          <t>all_in_one</t>
        </is>
      </c>
    </row>
    <row r="52" ht="15" customHeight="1" s="254">
      <c r="A52" s="263" t="inlineStr">
        <is>
          <t>_kW240</t>
        </is>
      </c>
      <c r="B52" s="263" t="inlineStr">
        <is>
          <t>CTX-AiO-240-4-300</t>
        </is>
      </c>
      <c r="C52" s="263" t="inlineStr">
        <is>
          <t>Gen3 240kW NACS 350A + NACS 350A; Cable Management + CC</t>
        </is>
      </c>
      <c r="D52" s="441" t="n">
        <v>88000</v>
      </c>
      <c r="E52" s="454" t="n">
        <v>240</v>
      </c>
      <c r="F52" s="443" t="n"/>
      <c r="I52" s="444" t="n">
        <v>2</v>
      </c>
      <c r="J52" s="445" t="inlineStr">
        <is>
          <t>connectors named in the description</t>
        </is>
      </c>
      <c r="AD52" s="451" t="inlineStr">
        <is>
          <t>CTX-AiO-240-3-300</t>
        </is>
      </c>
      <c r="AE52" s="452" t="inlineStr">
        <is>
          <t>all_in_one</t>
        </is>
      </c>
    </row>
    <row r="53" ht="15" customHeight="1" s="254">
      <c r="A53" s="263" t="inlineStr">
        <is>
          <t>_kW240</t>
        </is>
      </c>
      <c r="B53" s="263" t="inlineStr">
        <is>
          <t>CTX-AiO-240-5-300</t>
        </is>
      </c>
      <c r="C53" s="263" t="inlineStr">
        <is>
          <t>Gen3 240kW Single CCS1 350A; Cable Management + CC</t>
        </is>
      </c>
      <c r="D53" s="441" t="n">
        <v>88000</v>
      </c>
      <c r="E53" s="454" t="n">
        <v>240</v>
      </c>
      <c r="F53" s="443" t="n"/>
      <c r="I53" s="444" t="n">
        <v>1</v>
      </c>
      <c r="J53" s="445" t="inlineStr">
        <is>
          <t>description says Single</t>
        </is>
      </c>
      <c r="AD53" s="451" t="inlineStr">
        <is>
          <t>CTX-AiO-240-4-300</t>
        </is>
      </c>
      <c r="AE53" s="452" t="inlineStr">
        <is>
          <t>all_in_one</t>
        </is>
      </c>
    </row>
    <row r="54" ht="43.5" customHeight="1" s="254">
      <c r="A54" s="263" t="inlineStr">
        <is>
          <t>_kW360</t>
        </is>
      </c>
      <c r="B54" s="263" t="inlineStr">
        <is>
          <t>TP5-360-480-1-300</t>
        </is>
      </c>
      <c r="C54" s="271" t="inlineStr">
        <is>
          <t xml:space="preserve">360kW DCFC All In One Charger - 1000VDC, Cables: 350A CCS1 &amp; NACS ;  Can charge 2 cars simultaneously with 180kW each ; 4G Modem </t>
        </is>
      </c>
      <c r="D54" s="441" t="n">
        <v>99000</v>
      </c>
      <c r="E54" s="454" t="n">
        <v>360</v>
      </c>
      <c r="F54" s="443" t="n"/>
      <c r="I54" s="444" t="n">
        <v>2</v>
      </c>
      <c r="J54" s="445" t="inlineStr">
        <is>
          <t>manual — description does not state the count</t>
        </is>
      </c>
      <c r="AD54" s="451" t="inlineStr">
        <is>
          <t>CTX-AiO-240-5-300</t>
        </is>
      </c>
      <c r="AE54" s="452" t="inlineStr">
        <is>
          <t>all_in_one</t>
        </is>
      </c>
    </row>
    <row r="55" ht="43.5" customHeight="1" s="254">
      <c r="A55" s="263" t="inlineStr">
        <is>
          <t>_kW360</t>
        </is>
      </c>
      <c r="B55" s="263" t="inlineStr">
        <is>
          <t>TP5-360-480-2-300</t>
        </is>
      </c>
      <c r="C55" s="271" t="inlineStr">
        <is>
          <t xml:space="preserve">360kW DCFC All In One Charger - 350A Cable / 1000VDC Dual CCS1 ;  Can charge 2 cars simultaneously with 180kW each ; 4G Modem </t>
        </is>
      </c>
      <c r="D55" s="441" t="n">
        <v>99000</v>
      </c>
      <c r="E55" s="454" t="n">
        <v>360</v>
      </c>
      <c r="F55" s="443" t="n"/>
      <c r="I55" s="444" t="n">
        <v>2</v>
      </c>
      <c r="J55" s="445" t="inlineStr">
        <is>
          <t>description says Dual</t>
        </is>
      </c>
      <c r="AD55" s="451" t="inlineStr">
        <is>
          <t>TP5-360-480-1-300</t>
        </is>
      </c>
      <c r="AE55" s="452" t="inlineStr">
        <is>
          <t>all_in_one</t>
        </is>
      </c>
    </row>
    <row r="56" ht="43.5" customHeight="1" s="254">
      <c r="A56" s="263" t="inlineStr">
        <is>
          <t>_kW360</t>
        </is>
      </c>
      <c r="B56" s="263" t="inlineStr">
        <is>
          <t>TP5-360-480-3-300</t>
        </is>
      </c>
      <c r="C56" s="271" t="inlineStr">
        <is>
          <t xml:space="preserve">360kW DCFC All In One Charger - 1000VDC, Cables: 350A CCS1 &amp; 400A NACS ;  Can charge 2 cars simultaneously with 180kW each ; 4G Modem </t>
        </is>
      </c>
      <c r="D56" s="441" t="n">
        <v>99000</v>
      </c>
      <c r="E56" s="454" t="n">
        <v>360</v>
      </c>
      <c r="F56" s="443" t="n"/>
      <c r="I56" s="444" t="n">
        <v>2</v>
      </c>
      <c r="J56" s="445" t="inlineStr">
        <is>
          <t>manual — description does not state the count</t>
        </is>
      </c>
      <c r="AD56" s="451" t="inlineStr">
        <is>
          <t>TP5-360-480-2-300</t>
        </is>
      </c>
      <c r="AE56" s="452" t="inlineStr">
        <is>
          <t>all_in_one</t>
        </is>
      </c>
    </row>
    <row r="57" ht="43.5" customHeight="1" s="254">
      <c r="A57" s="263" t="inlineStr">
        <is>
          <t>_kW360</t>
        </is>
      </c>
      <c r="B57" s="263" t="inlineStr">
        <is>
          <t>TP5-360-480-4-300</t>
        </is>
      </c>
      <c r="C57" s="271" t="inlineStr">
        <is>
          <t xml:space="preserve">360kW DCFC All In One Charger - 1000VDC, Cables: 400A NACS / 400A NACS ;  Can charge 2 cars simultaneously with 180kW each ; 4G Modem </t>
        </is>
      </c>
      <c r="D57" s="441" t="n">
        <v>99000</v>
      </c>
      <c r="E57" s="454" t="n">
        <v>360</v>
      </c>
      <c r="F57" s="443" t="n"/>
      <c r="I57" s="444" t="n">
        <v>2</v>
      </c>
      <c r="J57" s="445" t="inlineStr">
        <is>
          <t>manual — description does not state the count</t>
        </is>
      </c>
      <c r="AD57" s="451" t="inlineStr">
        <is>
          <t>TP5-360-480-3-300</t>
        </is>
      </c>
      <c r="AE57" s="452" t="inlineStr">
        <is>
          <t>all_in_one</t>
        </is>
      </c>
    </row>
    <row r="58" ht="55.5" customHeight="1" s="254">
      <c r="A58" s="263" t="inlineStr">
        <is>
          <t>_kW360</t>
        </is>
      </c>
      <c r="B58" s="263" t="inlineStr">
        <is>
          <t>HPC-360-480-1</t>
        </is>
      </c>
      <c r="C58" s="271" t="inlineStr">
        <is>
          <t>360kW HPC All In One Charger - 500 Amps / 1000VDC with Liquid Cooled Connector for CCS1 &amp; NACS(~14ft) ; Can deliver 500A on CCS coonnector. Can charge 2 cars simultane</t>
        </is>
      </c>
      <c r="D58" s="441" t="n">
        <v>110000</v>
      </c>
      <c r="E58" s="454" t="n">
        <v>360</v>
      </c>
      <c r="F58" s="443" t="n"/>
      <c r="I58" s="444" t="n">
        <v>2</v>
      </c>
      <c r="J58" s="445" t="inlineStr">
        <is>
          <t>connectors named in the description</t>
        </is>
      </c>
      <c r="AD58" s="451" t="inlineStr">
        <is>
          <t>TP5-360-480-4-300</t>
        </is>
      </c>
      <c r="AE58" s="452" t="inlineStr">
        <is>
          <t>all_in_one</t>
        </is>
      </c>
    </row>
    <row r="59" ht="55.5" customHeight="1" s="254">
      <c r="A59" s="263" t="inlineStr">
        <is>
          <t>_kW360</t>
        </is>
      </c>
      <c r="B59" s="263" t="inlineStr">
        <is>
          <t>HPC-360-480-2</t>
        </is>
      </c>
      <c r="C59" s="271" t="inlineStr">
        <is>
          <t>360kW HPC All In One Charger - 500 Amps / 1000VDC with Liquid Cooled Connector for Dual CCS1 ; Can deliver 500A on one CCS coonnector and 400A on each connector if used s</t>
        </is>
      </c>
      <c r="D59" s="441" t="n">
        <v>110000</v>
      </c>
      <c r="E59" s="454" t="n">
        <v>360</v>
      </c>
      <c r="F59" s="443" t="n"/>
      <c r="I59" s="444" t="n">
        <v>2</v>
      </c>
      <c r="J59" s="445" t="inlineStr">
        <is>
          <t>description says Dual</t>
        </is>
      </c>
      <c r="AD59" s="451" t="inlineStr">
        <is>
          <t>HPC-360-480-1</t>
        </is>
      </c>
      <c r="AE59" s="452" t="inlineStr">
        <is>
          <t>all_in_one</t>
        </is>
      </c>
    </row>
    <row r="60" ht="55.5" customHeight="1" s="254">
      <c r="A60" s="263" t="inlineStr">
        <is>
          <t>_kW360</t>
        </is>
      </c>
      <c r="B60" s="263" t="inlineStr">
        <is>
          <t>HPC-360-480-3</t>
        </is>
      </c>
      <c r="C60" s="271" t="inlineStr">
        <is>
          <t xml:space="preserve">360kW HPC All In One Charger - 500 Amps / 1000VDC with Liquid Cooled Connector for CCS1 &amp; NACS ; Can deliver 500A on CCS coonnector. Can charge 2 cars simultaneously; 4G </t>
        </is>
      </c>
      <c r="D60" s="441" t="n">
        <v>110000</v>
      </c>
      <c r="E60" s="454" t="n">
        <v>360</v>
      </c>
      <c r="F60" s="443" t="n"/>
      <c r="I60" s="444" t="n">
        <v>2</v>
      </c>
      <c r="J60" s="445" t="inlineStr">
        <is>
          <t>connectors named in the description</t>
        </is>
      </c>
      <c r="AD60" s="451" t="inlineStr">
        <is>
          <t>HPC-360-480-2</t>
        </is>
      </c>
      <c r="AE60" s="452" t="inlineStr">
        <is>
          <t>all_in_one</t>
        </is>
      </c>
    </row>
    <row r="61" ht="55.5" customHeight="1" s="254">
      <c r="A61" s="263" t="inlineStr">
        <is>
          <t>_kW360</t>
        </is>
      </c>
      <c r="B61" s="263" t="inlineStr">
        <is>
          <t>HPC-360-480-4</t>
        </is>
      </c>
      <c r="C61" s="271" t="inlineStr">
        <is>
          <t xml:space="preserve">360kW HPC All In One Charger - 500 Amps / 1000VDC with Liquid Cooled Connector for NACS / NACS ; Can deliver 500A on CCS coonnector. Can charge 2 cars simultaneously; 4G </t>
        </is>
      </c>
      <c r="D61" s="441" t="n">
        <v>110000</v>
      </c>
      <c r="E61" s="454" t="n">
        <v>360</v>
      </c>
      <c r="F61" s="443" t="n"/>
      <c r="I61" s="444" t="n">
        <v>2</v>
      </c>
      <c r="J61" s="445" t="inlineStr">
        <is>
          <t>connectors named in the description</t>
        </is>
      </c>
      <c r="AD61" s="451" t="inlineStr">
        <is>
          <t>HPC-360-480-3</t>
        </is>
      </c>
      <c r="AE61" s="452" t="inlineStr">
        <is>
          <t>all_in_one</t>
        </is>
      </c>
    </row>
    <row r="62" ht="15" customHeight="1" s="254">
      <c r="A62" s="263" t="inlineStr">
        <is>
          <t>_Distributed_System</t>
        </is>
      </c>
      <c r="B62" s="263" t="inlineStr">
        <is>
          <t>CTX-DSPB-360</t>
        </is>
      </c>
      <c r="C62" s="263" t="inlineStr">
        <is>
          <t>360kW Tower</t>
        </is>
      </c>
      <c r="D62" s="441" t="n">
        <v>81400</v>
      </c>
      <c r="E62" s="454" t="n">
        <v>360</v>
      </c>
      <c r="F62" s="443" t="n"/>
      <c r="J62" s="445" t="inlineStr">
        <is>
          <t>distributed system — the architecture table holds this</t>
        </is>
      </c>
      <c r="AD62" s="451" t="inlineStr">
        <is>
          <t>HPC-360-480-4</t>
        </is>
      </c>
      <c r="AE62" s="452" t="inlineStr">
        <is>
          <t>all_in_one</t>
        </is>
      </c>
    </row>
    <row r="63" ht="15" customHeight="1" s="254">
      <c r="A63" s="263" t="inlineStr">
        <is>
          <t>_Distributed_System</t>
        </is>
      </c>
      <c r="B63" s="263" t="inlineStr">
        <is>
          <t>CTX-DSPB-480</t>
        </is>
      </c>
      <c r="C63" s="263" t="inlineStr">
        <is>
          <t>480kW Tower</t>
        </is>
      </c>
      <c r="D63" s="441" t="n">
        <v>90200</v>
      </c>
      <c r="E63" s="454" t="n">
        <v>480</v>
      </c>
      <c r="F63" s="443" t="n"/>
      <c r="J63" s="445" t="inlineStr">
        <is>
          <t>distributed system — the architecture table holds this</t>
        </is>
      </c>
      <c r="AD63" s="451" t="inlineStr">
        <is>
          <t>CTX-DSPB-360</t>
        </is>
      </c>
      <c r="AE63" s="452" t="inlineStr">
        <is>
          <t>power_cabinet</t>
        </is>
      </c>
    </row>
    <row r="64" ht="15" customHeight="1" s="254">
      <c r="A64" s="263" t="inlineStr">
        <is>
          <t>_Distributed_System</t>
        </is>
      </c>
      <c r="B64" s="263" t="inlineStr">
        <is>
          <t>CTX-DSPB-1280</t>
        </is>
      </c>
      <c r="C64" s="263" t="inlineStr">
        <is>
          <t>1,280kW Tower</t>
        </is>
      </c>
      <c r="D64" s="441" t="n">
        <v>225000</v>
      </c>
      <c r="E64" s="454" t="n">
        <v>1280</v>
      </c>
      <c r="F64" s="443" t="n"/>
      <c r="J64" s="445" t="inlineStr">
        <is>
          <t>distributed system — the architecture table holds this</t>
        </is>
      </c>
      <c r="AD64" s="451" t="inlineStr">
        <is>
          <t>CTX-DSPB-480</t>
        </is>
      </c>
      <c r="AE64" s="452" t="inlineStr">
        <is>
          <t>power_cabinet</t>
        </is>
      </c>
    </row>
    <row r="65" ht="15" customHeight="1" s="254">
      <c r="A65" s="263" t="inlineStr">
        <is>
          <t>_Distributed_System</t>
        </is>
      </c>
      <c r="B65" s="263" t="inlineStr">
        <is>
          <t>CTX-DST-2-300</t>
        </is>
      </c>
      <c r="C65" s="263" t="inlineStr">
        <is>
          <t>Dispenser 300/300</t>
        </is>
      </c>
      <c r="D65" s="441" t="n">
        <v>35200</v>
      </c>
      <c r="E65" s="442" t="n"/>
      <c r="F65" s="443" t="n"/>
      <c r="J65" s="445" t="inlineStr">
        <is>
          <t>distributed system — the architecture table holds this</t>
        </is>
      </c>
      <c r="AD65" s="451" t="inlineStr">
        <is>
          <t>CTX-DSPB-1280</t>
        </is>
      </c>
      <c r="AE65" s="452" t="inlineStr">
        <is>
          <t>power_cabinet</t>
        </is>
      </c>
    </row>
    <row r="66" ht="15" customHeight="1" s="254">
      <c r="A66" s="263" t="inlineStr">
        <is>
          <t>_Distributed_System</t>
        </is>
      </c>
      <c r="B66" s="263" t="inlineStr">
        <is>
          <t>CTX-DST-HPC-2-500/300</t>
        </is>
      </c>
      <c r="C66" s="263" t="inlineStr">
        <is>
          <t>Dispenser 500/300</t>
        </is>
      </c>
      <c r="D66" s="441" t="n">
        <v>49500</v>
      </c>
      <c r="E66" s="442" t="n"/>
      <c r="F66" s="443" t="n"/>
      <c r="J66" s="445" t="inlineStr">
        <is>
          <t>distributed system — the architecture table holds this</t>
        </is>
      </c>
      <c r="AD66" s="451" t="inlineStr">
        <is>
          <t>CTX-DST-2-300</t>
        </is>
      </c>
      <c r="AE66" s="452" t="inlineStr">
        <is>
          <t>dispenser</t>
        </is>
      </c>
    </row>
    <row r="67" ht="43.5" customHeight="1" s="254">
      <c r="A67" s="263" t="inlineStr">
        <is>
          <t>_Buy_America</t>
        </is>
      </c>
      <c r="B67" s="263" t="inlineStr">
        <is>
          <t>TP5-60-480-2-BAA</t>
        </is>
      </c>
      <c r="C67" s="271" t="inlineStr">
        <is>
          <t xml:space="preserve">Buy America NEVI Compliant, Assembled in CA, USA 60kW DCFC - 140 Amps / 1000VDC with CCS1 &amp; CCS1(~16ft) ; 4G Modem </t>
        </is>
      </c>
      <c r="D67" s="441" t="n">
        <v>68200</v>
      </c>
      <c r="E67" s="442" t="n"/>
      <c r="F67" s="443" t="n"/>
      <c r="I67" s="444" t="n">
        <v>2</v>
      </c>
      <c r="J67" s="445" t="inlineStr">
        <is>
          <t>connectors named in the description</t>
        </is>
      </c>
      <c r="AD67" s="451" t="inlineStr">
        <is>
          <t>CTX-DST-HPC-2-500/300</t>
        </is>
      </c>
      <c r="AE67" s="452" t="inlineStr">
        <is>
          <t>dispenser</t>
        </is>
      </c>
    </row>
    <row r="68" ht="43.6" customHeight="1" s="254">
      <c r="A68" s="263" t="inlineStr">
        <is>
          <t>_Buy_America</t>
        </is>
      </c>
      <c r="B68" s="263" t="inlineStr">
        <is>
          <t>TP5-60-480-3-BAA</t>
        </is>
      </c>
      <c r="C68" s="271" t="inlineStr">
        <is>
          <t xml:space="preserve">Buy America NEVI Compliant, Assembled in CA, USA 60kW DCFC - 140 Amps / 1000VDC with CCS1 &amp; NACS ; 4G Modem </t>
        </is>
      </c>
      <c r="D68" s="441" t="n">
        <v>68200</v>
      </c>
      <c r="E68" s="442" t="n"/>
      <c r="F68" s="443" t="n"/>
      <c r="I68" s="444" t="n">
        <v>2</v>
      </c>
      <c r="J68" s="445" t="inlineStr">
        <is>
          <t>connectors named in the description</t>
        </is>
      </c>
      <c r="AD68" s="451" t="inlineStr">
        <is>
          <t>TP5-60-480-2-BAA</t>
        </is>
      </c>
      <c r="AE68" s="452" t="inlineStr">
        <is>
          <t>all_in_one</t>
        </is>
      </c>
    </row>
    <row r="69" ht="43.6" customHeight="1" s="254">
      <c r="A69" s="263" t="inlineStr">
        <is>
          <t>_Buy_America</t>
        </is>
      </c>
      <c r="B69" s="263" t="inlineStr">
        <is>
          <t>TP5-60-480-4-BAA</t>
        </is>
      </c>
      <c r="C69" s="271" t="inlineStr">
        <is>
          <t xml:space="preserve">Buy America NEVI Compliant, Assembled in CA, USA 60kW DCFC - 140 Amps / 1000VDC with NACS &amp; NACS ; 4G Modem </t>
        </is>
      </c>
      <c r="D69" s="441" t="n">
        <v>68200</v>
      </c>
      <c r="E69" s="442" t="n"/>
      <c r="F69" s="443" t="n"/>
      <c r="I69" s="444" t="n">
        <v>2</v>
      </c>
      <c r="J69" s="445" t="inlineStr">
        <is>
          <t>connectors named in the description</t>
        </is>
      </c>
      <c r="AD69" s="451" t="inlineStr">
        <is>
          <t>TP5-60-480-3-BAA</t>
        </is>
      </c>
      <c r="AE69" s="452" t="inlineStr">
        <is>
          <t>all_in_one</t>
        </is>
      </c>
    </row>
    <row r="70" ht="55.5" customHeight="1" s="254">
      <c r="A70" s="263" t="inlineStr">
        <is>
          <t>_Buy_America</t>
        </is>
      </c>
      <c r="B70" s="263" t="inlineStr">
        <is>
          <t>TP5-120-480-2-300-BAA</t>
        </is>
      </c>
      <c r="C70" s="271" t="inlineStr">
        <is>
          <t xml:space="preserve">Buy America NEVI Compliant, Assembled in CA, USA 120kW DCFC All In One Charger - 350A Cable / 1000VDC with CCS1 &amp; CCS1(~16ft); Can charge 2 cars simultaneously with 60kW </t>
        </is>
      </c>
      <c r="D70" s="441" t="n">
        <v>75900</v>
      </c>
      <c r="E70" s="442" t="n"/>
      <c r="F70" s="443" t="n"/>
      <c r="I70" s="444" t="n">
        <v>2</v>
      </c>
      <c r="J70" s="445" t="inlineStr">
        <is>
          <t>connectors named in the description</t>
        </is>
      </c>
      <c r="AD70" s="451" t="inlineStr">
        <is>
          <t>TP5-60-480-4-BAA</t>
        </is>
      </c>
      <c r="AE70" s="452" t="inlineStr">
        <is>
          <t>all_in_one</t>
        </is>
      </c>
    </row>
    <row r="71" ht="55.5" customHeight="1" s="254">
      <c r="A71" s="263" t="inlineStr">
        <is>
          <t>_Buy_America</t>
        </is>
      </c>
      <c r="B71" s="263" t="inlineStr">
        <is>
          <t>TP5-120-480-3-300-BAA</t>
        </is>
      </c>
      <c r="C71" s="271" t="inlineStr">
        <is>
          <t xml:space="preserve">Buy America NEVI Compliant, Assembled in CA, USA 120kW DCFC All In One Charger - 350A Cable / 1000VDC with CCS1 &amp; NACS; Can charge 2 cars simultaneously with 60kW each ; </t>
        </is>
      </c>
      <c r="D71" s="441" t="n">
        <v>75900</v>
      </c>
      <c r="E71" s="442" t="n"/>
      <c r="F71" s="443" t="n"/>
      <c r="I71" s="444" t="n">
        <v>2</v>
      </c>
      <c r="J71" s="445" t="inlineStr">
        <is>
          <t>connectors named in the description</t>
        </is>
      </c>
      <c r="AD71" s="451" t="inlineStr">
        <is>
          <t>TP5-120-480-2-300-BAA</t>
        </is>
      </c>
      <c r="AE71" s="452" t="inlineStr">
        <is>
          <t>all_in_one</t>
        </is>
      </c>
    </row>
    <row r="72" ht="55.5" customHeight="1" s="254">
      <c r="A72" s="263" t="inlineStr">
        <is>
          <t>_Buy_America</t>
        </is>
      </c>
      <c r="B72" s="263" t="inlineStr">
        <is>
          <t>TP5-120-480-4-300-BAA</t>
        </is>
      </c>
      <c r="C72" s="271" t="inlineStr">
        <is>
          <t xml:space="preserve">Buy America NEVI Compliant, Assembled in CA, USA 120kW DCFC All In One Charger - 350A Cable / 1000VDC with NACS &amp; NACS(~16ft); Can charge 2 cars simultaneously with 60kW </t>
        </is>
      </c>
      <c r="D72" s="441" t="n">
        <v>75900</v>
      </c>
      <c r="E72" s="442" t="n"/>
      <c r="F72" s="443" t="n"/>
      <c r="I72" s="444" t="n">
        <v>2</v>
      </c>
      <c r="J72" s="445" t="inlineStr">
        <is>
          <t>connectors named in the description</t>
        </is>
      </c>
      <c r="AD72" s="451" t="inlineStr">
        <is>
          <t>TP5-120-480-3-300-BAA</t>
        </is>
      </c>
      <c r="AE72" s="452" t="inlineStr">
        <is>
          <t>all_in_one</t>
        </is>
      </c>
    </row>
    <row r="73" ht="55.5" customHeight="1" s="254">
      <c r="A73" s="263" t="inlineStr">
        <is>
          <t>_Buy_America</t>
        </is>
      </c>
      <c r="B73" s="263" t="inlineStr">
        <is>
          <t>TP5-180-480-2-BAA</t>
        </is>
      </c>
      <c r="C73" s="271" t="inlineStr">
        <is>
          <t xml:space="preserve">Buy America NEVI Compliant, Assembled in CA, USA 180kW Air Cooled 350A Cable (BAA) CCS1 / CCS1 1000VDC Connector for Dual CCS1; Can deliver 350A on one CCS conector. Set </t>
        </is>
      </c>
      <c r="D73" s="441" t="n">
        <v>82500</v>
      </c>
      <c r="E73" s="442" t="n"/>
      <c r="F73" s="443" t="n"/>
      <c r="I73" s="444" t="n">
        <v>2</v>
      </c>
      <c r="J73" s="445" t="inlineStr">
        <is>
          <t>description says Dual</t>
        </is>
      </c>
      <c r="AD73" s="451" t="inlineStr">
        <is>
          <t>TP5-120-480-4-300-BAA</t>
        </is>
      </c>
      <c r="AE73" s="452" t="inlineStr">
        <is>
          <t>all_in_one</t>
        </is>
      </c>
    </row>
    <row r="74" ht="55.5" customHeight="1" s="254">
      <c r="A74" s="263" t="inlineStr">
        <is>
          <t>_Buy_America</t>
        </is>
      </c>
      <c r="B74" s="263" t="inlineStr">
        <is>
          <t>TP5-180-480-3-BAA</t>
        </is>
      </c>
      <c r="C74" s="271" t="inlineStr">
        <is>
          <t>Buy America NEVI Compliant, Assembled in CA, USA 180kW Air Cooled 350A Cable (BAA)  CCS1 / NACS 1000VDC Connector for Dual CCS1; Can deliver 350A on one CCS conector. Set</t>
        </is>
      </c>
      <c r="D74" s="441" t="n">
        <v>82500</v>
      </c>
      <c r="E74" s="442" t="n"/>
      <c r="F74" s="443" t="n"/>
      <c r="I74" s="444" t="n">
        <v>2</v>
      </c>
      <c r="J74" s="445" t="inlineStr">
        <is>
          <t>description says Dual</t>
        </is>
      </c>
      <c r="AD74" s="451" t="inlineStr">
        <is>
          <t>TP5-180-480-2-BAA</t>
        </is>
      </c>
      <c r="AE74" s="452" t="inlineStr">
        <is>
          <t>all_in_one</t>
        </is>
      </c>
    </row>
    <row r="75" ht="55.5" customHeight="1" s="254">
      <c r="A75" s="263" t="inlineStr">
        <is>
          <t>_Buy_America</t>
        </is>
      </c>
      <c r="B75" s="263" t="inlineStr">
        <is>
          <t>TP5-180-480-4-BAA</t>
        </is>
      </c>
      <c r="C75" s="271" t="inlineStr">
        <is>
          <t xml:space="preserve">Buy America NEVI Compliant, Assembled in CA, USA 180kW Air Cooled 350A Cable (BAA) NACS / NACS 1000VDC Connector for Dual CCS1; Can deliver 350A on one CCS conector. Set </t>
        </is>
      </c>
      <c r="D75" s="441" t="n">
        <v>82500</v>
      </c>
      <c r="E75" s="442" t="n"/>
      <c r="F75" s="443" t="n"/>
      <c r="I75" s="444" t="n">
        <v>2</v>
      </c>
      <c r="J75" s="445" t="inlineStr">
        <is>
          <t>description says Dual</t>
        </is>
      </c>
      <c r="AD75" s="451" t="inlineStr">
        <is>
          <t>TP5-180-480-3-BAA</t>
        </is>
      </c>
      <c r="AE75" s="452" t="inlineStr">
        <is>
          <t>all_in_one</t>
        </is>
      </c>
    </row>
    <row r="76" ht="55.5" customHeight="1" s="254">
      <c r="A76" s="263" t="inlineStr">
        <is>
          <t>_Buy_America</t>
        </is>
      </c>
      <c r="B76" s="263" t="inlineStr">
        <is>
          <t>HPC-180-480-2-BAA</t>
        </is>
      </c>
      <c r="C76" s="271" t="inlineStr">
        <is>
          <t>Buy America NEVI Compliant, Assembled in CA, USA 180kW Liquid Cooled (BAA) Dual CCS1 500 Amps / 1000VDC with Liquid Cooled Connector for Dual CCS1 ; Can deliver 450A on o</t>
        </is>
      </c>
      <c r="D76" s="441" t="n">
        <v>82500</v>
      </c>
      <c r="E76" s="442" t="n"/>
      <c r="F76" s="443" t="n"/>
      <c r="I76" s="444" t="n">
        <v>2</v>
      </c>
      <c r="J76" s="445" t="inlineStr">
        <is>
          <t>description says Dual</t>
        </is>
      </c>
      <c r="AD76" s="451" t="inlineStr">
        <is>
          <t>TP5-180-480-4-BAA</t>
        </is>
      </c>
      <c r="AE76" s="452" t="inlineStr">
        <is>
          <t>all_in_one</t>
        </is>
      </c>
    </row>
    <row r="77" ht="55.5" customHeight="1" s="254">
      <c r="A77" s="263" t="inlineStr">
        <is>
          <t>_Buy_America</t>
        </is>
      </c>
      <c r="B77" s="263" t="inlineStr">
        <is>
          <t>HPC-180-480-3-BAA</t>
        </is>
      </c>
      <c r="C77" s="271" t="inlineStr">
        <is>
          <t>Buy America NEVI Compliant, Assembled in CA, USA 180kW Liquid Cooled (BAA) CCS1 / NACS 1000VDC with Liquid Cooled Connector for Dual CCS1 ; Can deliver 450A on one CCS co</t>
        </is>
      </c>
      <c r="D77" s="441" t="n">
        <v>82500</v>
      </c>
      <c r="E77" s="442" t="n"/>
      <c r="F77" s="443" t="n"/>
      <c r="I77" s="444" t="n">
        <v>2</v>
      </c>
      <c r="J77" s="445" t="inlineStr">
        <is>
          <t>description says Dual</t>
        </is>
      </c>
      <c r="AD77" s="451" t="inlineStr">
        <is>
          <t>HPC-180-480-2-BAA</t>
        </is>
      </c>
      <c r="AE77" s="452" t="inlineStr">
        <is>
          <t>all_in_one</t>
        </is>
      </c>
    </row>
    <row r="78" ht="55.5" customHeight="1" s="254">
      <c r="A78" s="263" t="inlineStr">
        <is>
          <t>_Buy_America</t>
        </is>
      </c>
      <c r="B78" s="263" t="inlineStr">
        <is>
          <t>HPC-180-480-4-BAA</t>
        </is>
      </c>
      <c r="C78" s="271" t="inlineStr">
        <is>
          <t>Buy America NEVI Compliant, Assembled in CA, USA 180kW Liquid Cooled (BAA) NACS /NACS 1000VDC with Liquid Cooled Connector for Dual CCS1 ; Can deliver 450A on one CCS con</t>
        </is>
      </c>
      <c r="D78" s="441" t="n">
        <v>82500</v>
      </c>
      <c r="E78" s="442" t="n"/>
      <c r="F78" s="443" t="n"/>
      <c r="I78" s="444" t="n">
        <v>2</v>
      </c>
      <c r="J78" s="445" t="inlineStr">
        <is>
          <t>description says Dual</t>
        </is>
      </c>
      <c r="AD78" s="451" t="inlineStr">
        <is>
          <t>HPC-180-480-3-BAA</t>
        </is>
      </c>
      <c r="AE78" s="452" t="inlineStr">
        <is>
          <t>all_in_one</t>
        </is>
      </c>
    </row>
    <row r="79" ht="55.5" customHeight="1" s="254">
      <c r="A79" s="263" t="inlineStr">
        <is>
          <t>_Buy_America</t>
        </is>
      </c>
      <c r="B79" s="263" t="inlineStr">
        <is>
          <t>TP5-360-480-2-BAA</t>
        </is>
      </c>
      <c r="C79" s="271" t="inlineStr">
        <is>
          <t>Buy America NEVI Compliant 360kW Air Cooled 350A Cable (BAA) Dual CCS1 / 1000VDC Connector for Dual CCS1 ; Can deliver 350A on one CCS connector and 350A on each connecto</t>
        </is>
      </c>
      <c r="D79" s="441" t="n">
        <v>138600</v>
      </c>
      <c r="E79" s="442" t="n"/>
      <c r="F79" s="443" t="n"/>
      <c r="I79" s="444" t="n">
        <v>2</v>
      </c>
      <c r="J79" s="445" t="inlineStr">
        <is>
          <t>description says Dual</t>
        </is>
      </c>
      <c r="AD79" s="451" t="inlineStr">
        <is>
          <t>HPC-180-480-4-BAA</t>
        </is>
      </c>
      <c r="AE79" s="452" t="inlineStr">
        <is>
          <t>all_in_one</t>
        </is>
      </c>
    </row>
    <row r="80" ht="55.5" customHeight="1" s="254">
      <c r="A80" s="263" t="inlineStr">
        <is>
          <t>_Buy_America</t>
        </is>
      </c>
      <c r="B80" s="263" t="inlineStr">
        <is>
          <t>TP5-360-480-3-BAA</t>
        </is>
      </c>
      <c r="C80" s="271" t="inlineStr">
        <is>
          <t>Buy America NEVI Compliant 360kW Air Cooled 350A Cable (BAA) Dual CCS1 / 1000VDC Connector for CCS1/NACS ; Can deliver 350A on one CCS connector and 350A on each connecto</t>
        </is>
      </c>
      <c r="D80" s="441" t="n">
        <v>138600</v>
      </c>
      <c r="E80" s="442" t="n"/>
      <c r="F80" s="443" t="n"/>
      <c r="I80" s="444" t="n">
        <v>2</v>
      </c>
      <c r="J80" s="445" t="inlineStr">
        <is>
          <t>description says Dual</t>
        </is>
      </c>
      <c r="AD80" s="451" t="inlineStr">
        <is>
          <t>TP5-360-480-2-BAA</t>
        </is>
      </c>
      <c r="AE80" s="452" t="inlineStr">
        <is>
          <t>all_in_one</t>
        </is>
      </c>
    </row>
    <row r="81" ht="55.5" customHeight="1" s="254">
      <c r="A81" s="263" t="inlineStr">
        <is>
          <t>_Buy_America</t>
        </is>
      </c>
      <c r="B81" s="263" t="inlineStr">
        <is>
          <t>TP5-360-480-4-BAA</t>
        </is>
      </c>
      <c r="C81" s="271" t="inlineStr">
        <is>
          <t>Buy America NEVI Compliant 360kW Air Cooled 350A Cable (BAA) Dual CCS1 / 1000VDC Connector for NACS/NACS ; Can deliver 350A on one CCS connector and 350A on each connecto</t>
        </is>
      </c>
      <c r="D81" s="441" t="n">
        <v>138600</v>
      </c>
      <c r="E81" s="442" t="n"/>
      <c r="F81" s="443" t="n"/>
      <c r="I81" s="444" t="n">
        <v>2</v>
      </c>
      <c r="J81" s="445" t="inlineStr">
        <is>
          <t>description says Dual</t>
        </is>
      </c>
      <c r="AD81" s="451" t="inlineStr">
        <is>
          <t>TP5-360-480-3-BAA</t>
        </is>
      </c>
      <c r="AE81" s="452" t="inlineStr">
        <is>
          <t>all_in_one</t>
        </is>
      </c>
    </row>
    <row r="82" ht="55.5" customHeight="1" s="254">
      <c r="A82" s="263" t="inlineStr">
        <is>
          <t>_Buy_America</t>
        </is>
      </c>
      <c r="B82" s="263" t="inlineStr">
        <is>
          <t>HPC-360-480-2-BAA</t>
        </is>
      </c>
      <c r="C82" s="271" t="inlineStr">
        <is>
          <t>Buy America NEVI Compliant 360kW Liquid Cooled (BAA) 500 Amps / 1000VDC with Liquid Cooled Connector for Dual CCS1 ; Can deliver 500A on one CCS connector and 400A on eac</t>
        </is>
      </c>
      <c r="D82" s="441" t="n">
        <v>137500</v>
      </c>
      <c r="E82" s="442" t="n"/>
      <c r="F82" s="443" t="n"/>
      <c r="I82" s="444" t="n">
        <v>2</v>
      </c>
      <c r="J82" s="445" t="inlineStr">
        <is>
          <t>description says Dual</t>
        </is>
      </c>
      <c r="AD82" s="451" t="inlineStr">
        <is>
          <t>TP5-360-480-4-BAA</t>
        </is>
      </c>
      <c r="AE82" s="452" t="inlineStr">
        <is>
          <t>all_in_one</t>
        </is>
      </c>
    </row>
    <row r="83" ht="55.5" customHeight="1" s="254">
      <c r="A83" s="263" t="inlineStr">
        <is>
          <t>_Buy_America</t>
        </is>
      </c>
      <c r="B83" s="263" t="inlineStr">
        <is>
          <t>HPC-360-480-3-BAA</t>
        </is>
      </c>
      <c r="C83" s="271" t="inlineStr">
        <is>
          <t>Buy America NEVI Compliant 360kW Liquid Cooled (BAA) 500 Amps / 1000VDC with Liquid Cooled Connector for CCS1/NACS ; Can deliver 500A on one CCS connector and 400A on eac</t>
        </is>
      </c>
      <c r="D83" s="441" t="n">
        <v>137500</v>
      </c>
      <c r="E83" s="442" t="n"/>
      <c r="F83" s="443" t="n"/>
      <c r="I83" s="444" t="n">
        <v>2</v>
      </c>
      <c r="J83" s="445" t="inlineStr">
        <is>
          <t>connectors named in the description</t>
        </is>
      </c>
      <c r="AD83" s="451" t="inlineStr">
        <is>
          <t>HPC-360-480-2-BAA</t>
        </is>
      </c>
      <c r="AE83" s="452" t="inlineStr">
        <is>
          <t>all_in_one</t>
        </is>
      </c>
    </row>
    <row r="84" ht="55.5" customHeight="1" s="254">
      <c r="A84" s="263" t="inlineStr">
        <is>
          <t>_Buy_America</t>
        </is>
      </c>
      <c r="B84" s="263" t="inlineStr">
        <is>
          <t>HPC-360-480-4-BAA</t>
        </is>
      </c>
      <c r="C84" s="271" t="inlineStr">
        <is>
          <t>Buy America NEVI Compliant 360kW Liquid Cooled (BAA) 500 Amps / 1000VDC with Liquid Cooled Connector for NACS/NACS ; Can deliver 500A on one CCS connector and 400A on eac</t>
        </is>
      </c>
      <c r="D84" s="441" t="n">
        <v>137500</v>
      </c>
      <c r="E84" s="442" t="n"/>
      <c r="F84" s="443" t="n"/>
      <c r="I84" s="444" t="n">
        <v>2</v>
      </c>
      <c r="J84" s="445" t="inlineStr">
        <is>
          <t>connectors named in the description</t>
        </is>
      </c>
      <c r="AD84" s="451" t="inlineStr">
        <is>
          <t>HPC-360-480-3-BAA</t>
        </is>
      </c>
      <c r="AE84" s="452" t="inlineStr">
        <is>
          <t>all_in_one</t>
        </is>
      </c>
    </row>
    <row r="85" ht="15" customHeight="1" s="254">
      <c r="A85" s="263" t="inlineStr">
        <is>
          <t>_V2G</t>
        </is>
      </c>
      <c r="B85" s="263" t="inlineStr">
        <is>
          <t>CTX-V2G-20-480-1</t>
        </is>
      </c>
      <c r="C85" s="263" t="inlineStr">
        <is>
          <t>20kW V2G Charger</t>
        </is>
      </c>
      <c r="D85" s="441" t="n">
        <v>16700</v>
      </c>
      <c r="E85" s="442" t="n"/>
      <c r="F85" s="443" t="n"/>
      <c r="I85" s="444" t="n">
        <v>1</v>
      </c>
      <c r="J85" s="445" t="inlineStr">
        <is>
          <t>manual — description does not state the count</t>
        </is>
      </c>
      <c r="AD85" s="451" t="inlineStr">
        <is>
          <t>HPC-360-480-4-BAA</t>
        </is>
      </c>
      <c r="AE85" s="452" t="inlineStr">
        <is>
          <t>all_in_one</t>
        </is>
      </c>
    </row>
    <row r="86" ht="15" customHeight="1" s="254">
      <c r="A86" s="263" t="inlineStr">
        <is>
          <t>_V2G</t>
        </is>
      </c>
      <c r="B86" s="263" t="inlineStr">
        <is>
          <t>CTX-V2G-30-480-1</t>
        </is>
      </c>
      <c r="C86" s="263" t="inlineStr">
        <is>
          <t>30kW V2G Charger</t>
        </is>
      </c>
      <c r="D86" s="441" t="n">
        <v>23800</v>
      </c>
      <c r="E86" s="442" t="n"/>
      <c r="F86" s="443" t="n"/>
      <c r="I86" s="444" t="n">
        <v>1</v>
      </c>
      <c r="J86" s="445" t="inlineStr">
        <is>
          <t>manual — description does not state the count</t>
        </is>
      </c>
      <c r="AD86" s="451" t="inlineStr">
        <is>
          <t>CTX-V2G-20-480-1</t>
        </is>
      </c>
      <c r="AE86" s="452" t="inlineStr">
        <is>
          <t>all_in_one</t>
        </is>
      </c>
    </row>
    <row r="87" ht="15" customHeight="1" s="254">
      <c r="A87" s="263" t="inlineStr">
        <is>
          <t>_V2G</t>
        </is>
      </c>
      <c r="B87" s="263" t="inlineStr">
        <is>
          <t>CTX-V2G-40-480-1</t>
        </is>
      </c>
      <c r="C87" s="263" t="inlineStr">
        <is>
          <t>40kW V2G Charger</t>
        </is>
      </c>
      <c r="D87" s="441" t="n">
        <v>35900</v>
      </c>
      <c r="E87" s="442" t="n"/>
      <c r="F87" s="443" t="n"/>
      <c r="I87" s="444" t="n">
        <v>1</v>
      </c>
      <c r="J87" s="445" t="inlineStr">
        <is>
          <t>manual — description does not state the count</t>
        </is>
      </c>
      <c r="AD87" s="451" t="inlineStr">
        <is>
          <t>CTX-V2G-30-480-1</t>
        </is>
      </c>
      <c r="AE87" s="452" t="inlineStr">
        <is>
          <t>all_in_one</t>
        </is>
      </c>
    </row>
    <row r="88" ht="15" customHeight="1" s="254">
      <c r="A88" s="263" t="inlineStr">
        <is>
          <t>_V2G</t>
        </is>
      </c>
      <c r="B88" s="263" t="inlineStr">
        <is>
          <t>CTX-V2G-60-480-1</t>
        </is>
      </c>
      <c r="C88" s="263" t="inlineStr">
        <is>
          <t>60kW V2G Charger</t>
        </is>
      </c>
      <c r="D88" s="441" t="n">
        <v>50000</v>
      </c>
      <c r="E88" s="442" t="n"/>
      <c r="F88" s="443" t="n"/>
      <c r="I88" s="444" t="n">
        <v>1</v>
      </c>
      <c r="J88" s="445" t="inlineStr">
        <is>
          <t>manual — description does not state the count</t>
        </is>
      </c>
      <c r="AD88" s="451" t="inlineStr">
        <is>
          <t>CTX-V2G-40-480-1</t>
        </is>
      </c>
      <c r="AE88" s="452" t="inlineStr">
        <is>
          <t>all_in_one</t>
        </is>
      </c>
    </row>
    <row r="89" ht="15" customHeight="1" s="254">
      <c r="A89" s="263" t="inlineStr">
        <is>
          <t>_L2_Accessories</t>
        </is>
      </c>
      <c r="B89" s="263" t="inlineStr">
        <is>
          <t>CTX-FLUXPED</t>
        </is>
      </c>
      <c r="C89" s="263" t="inlineStr">
        <is>
          <t>Single Post (no Retraction)</t>
        </is>
      </c>
      <c r="D89" s="441" t="n">
        <v>412.5</v>
      </c>
      <c r="E89" s="442" t="n"/>
      <c r="F89" s="443" t="n"/>
      <c r="I89" s="444" t="n">
        <v>0</v>
      </c>
      <c r="J89" s="445" t="inlineStr">
        <is>
          <t>accessory — not a charging position</t>
        </is>
      </c>
      <c r="AD89" s="451" t="inlineStr">
        <is>
          <t>CTX-V2G-60-480-1</t>
        </is>
      </c>
      <c r="AE89" s="452" t="inlineStr">
        <is>
          <t>all_in_one</t>
        </is>
      </c>
    </row>
    <row r="90" ht="15" customHeight="1" s="254">
      <c r="A90" s="263" t="inlineStr">
        <is>
          <t>_L2_Accessories</t>
        </is>
      </c>
      <c r="B90" s="263" t="inlineStr">
        <is>
          <t>CTX-FLUXWAL-CMS-1</t>
        </is>
      </c>
      <c r="C90" s="263" t="inlineStr">
        <is>
          <t>Single Retractor (Wall)</t>
        </is>
      </c>
      <c r="D90" s="441" t="n">
        <v>275</v>
      </c>
      <c r="E90" s="442" t="n"/>
      <c r="F90" s="443" t="n"/>
      <c r="I90" s="444" t="n">
        <v>0</v>
      </c>
      <c r="J90" s="445" t="inlineStr">
        <is>
          <t>accessory — not a charging position</t>
        </is>
      </c>
      <c r="AD90" s="451" t="inlineStr">
        <is>
          <t>CTX-FLUXPED</t>
        </is>
      </c>
      <c r="AE90" s="452" t="inlineStr">
        <is>
          <t>accessory</t>
        </is>
      </c>
    </row>
    <row r="91" ht="15" customHeight="1" s="254">
      <c r="A91" s="263" t="inlineStr">
        <is>
          <t>_L2_Accessories</t>
        </is>
      </c>
      <c r="B91" s="263" t="inlineStr">
        <is>
          <t>CTX-FLUXPED-CMS-1</t>
        </is>
      </c>
      <c r="C91" s="263" t="inlineStr">
        <is>
          <t>Single Retractor post</t>
        </is>
      </c>
      <c r="D91" s="441" t="n">
        <v>412.5</v>
      </c>
      <c r="E91" s="442" t="n"/>
      <c r="F91" s="443" t="n"/>
      <c r="I91" s="444" t="n">
        <v>0</v>
      </c>
      <c r="J91" s="445" t="inlineStr">
        <is>
          <t>accessory — not a charging position</t>
        </is>
      </c>
      <c r="AD91" s="451" t="inlineStr">
        <is>
          <t>CTX-FLUXWAL-CMS-1</t>
        </is>
      </c>
      <c r="AE91" s="452" t="inlineStr">
        <is>
          <t>accessory</t>
        </is>
      </c>
    </row>
    <row r="92" ht="15" customHeight="1" s="254">
      <c r="A92" s="263" t="inlineStr">
        <is>
          <t>_L2_Accessories</t>
        </is>
      </c>
      <c r="B92" s="263" t="inlineStr">
        <is>
          <t>CTX-FLUXPED-CMS-2</t>
        </is>
      </c>
      <c r="C92" s="263" t="inlineStr">
        <is>
          <t>Dual Retractor (Post)</t>
        </is>
      </c>
      <c r="D92" s="441" t="n">
        <v>632.5</v>
      </c>
      <c r="E92" s="442" t="n"/>
      <c r="F92" s="443" t="n"/>
      <c r="I92" s="444" t="n">
        <v>0</v>
      </c>
      <c r="J92" s="445" t="inlineStr">
        <is>
          <t>accessory — not a charging position</t>
        </is>
      </c>
      <c r="AD92" s="451" t="inlineStr">
        <is>
          <t>CTX-FLUXPED-CMS-1</t>
        </is>
      </c>
      <c r="AE92" s="452" t="inlineStr">
        <is>
          <t>accessory</t>
        </is>
      </c>
    </row>
    <row r="93" ht="15" customHeight="1" s="254">
      <c r="A93" s="263" t="inlineStr">
        <is>
          <t>_L2_Accessories</t>
        </is>
      </c>
      <c r="B93" s="263" t="inlineStr">
        <is>
          <t>CTX-FLUXPED-SBS</t>
        </is>
      </c>
      <c r="C93" s="263" t="inlineStr">
        <is>
          <t>Side By Side Bracket</t>
        </is>
      </c>
      <c r="D93" s="441" t="n">
        <v>137.5</v>
      </c>
      <c r="E93" s="442" t="n"/>
      <c r="F93" s="443" t="n"/>
      <c r="I93" s="444" t="n">
        <v>0</v>
      </c>
      <c r="J93" s="445" t="inlineStr">
        <is>
          <t>accessory — not a charging position</t>
        </is>
      </c>
      <c r="AD93" s="451" t="inlineStr">
        <is>
          <t>CTX-FLUXPED-CMS-2</t>
        </is>
      </c>
      <c r="AE93" s="452" t="inlineStr">
        <is>
          <t>accessory</t>
        </is>
      </c>
    </row>
    <row r="94" ht="15" customHeight="1" s="254">
      <c r="AD94" s="451" t="inlineStr">
        <is>
          <t>CTX-FLUXPED-SBS</t>
        </is>
      </c>
      <c r="AE94" s="452" t="inlineStr">
        <is>
          <t>accessory</t>
        </is>
      </c>
    </row>
    <row r="95" ht="15" customHeight="1" s="254">
      <c r="A95" s="262" t="inlineStr">
        <is>
          <t>SERVICE AND WARRANTY RATES PER CABINET PER YEAR</t>
        </is>
      </c>
    </row>
    <row r="96" ht="26.44" customHeight="1" s="254">
      <c r="A96" s="268" t="inlineStr">
        <is>
          <t>Class</t>
        </is>
      </c>
      <c r="B96" s="439" t="n"/>
      <c r="C96" s="268" t="inlineStr">
        <is>
          <t>Yearly warranty</t>
        </is>
      </c>
      <c r="D96" s="268" t="inlineStr">
        <is>
          <t>In-warranty service</t>
        </is>
      </c>
      <c r="E96" s="268" t="inlineStr">
        <is>
          <t>Warranty + service, year 3+</t>
        </is>
      </c>
      <c r="F96" s="268" t="inlineStr">
        <is>
          <t>Out-of-warranty service</t>
        </is>
      </c>
      <c r="G96" s="447" t="inlineStr">
        <is>
          <t>Included manufacturer warranty</t>
        </is>
      </c>
    </row>
    <row r="97" ht="15" customHeight="1" s="254">
      <c r="A97" s="263" t="inlineStr">
        <is>
          <t>AC Charger - 7.2 kW UP80J-PMP Single</t>
        </is>
      </c>
      <c r="C97" s="441" t="n">
        <v>416</v>
      </c>
      <c r="D97" s="441" t="n">
        <v>320.11</v>
      </c>
      <c r="E97" s="441" t="n">
        <v>736.11</v>
      </c>
      <c r="F97" s="455" t="inlineStr">
        <is>
          <t>NOT OFFERED</t>
        </is>
      </c>
      <c r="G97" s="324" t="inlineStr">
        <is>
          <t>1 year, parts only</t>
        </is>
      </c>
    </row>
    <row r="98" ht="15" customHeight="1" s="254">
      <c r="A98" s="263" t="inlineStr">
        <is>
          <t>AC Charger - 2 x 7.2 kW UP160J-PMP Dual</t>
        </is>
      </c>
      <c r="C98" s="441" t="n">
        <v>416</v>
      </c>
      <c r="D98" s="441" t="n">
        <v>320.11</v>
      </c>
      <c r="E98" s="441" t="n">
        <v>736.11</v>
      </c>
      <c r="F98" s="455" t="inlineStr">
        <is>
          <t>NOT OFFERED</t>
        </is>
      </c>
      <c r="G98" s="324" t="inlineStr">
        <is>
          <t>1 year, parts only</t>
        </is>
      </c>
    </row>
    <row r="99" ht="15" customHeight="1" s="254">
      <c r="A99" s="263" t="inlineStr">
        <is>
          <t>AC Charger - 7.2 kW UP80J-WMP Single</t>
        </is>
      </c>
      <c r="C99" s="441" t="n">
        <v>416</v>
      </c>
      <c r="D99" s="441" t="n">
        <v>320.11</v>
      </c>
      <c r="E99" s="441" t="n">
        <v>736.11</v>
      </c>
      <c r="F99" s="455" t="inlineStr">
        <is>
          <t>NOT OFFERED</t>
        </is>
      </c>
      <c r="G99" s="324" t="inlineStr">
        <is>
          <t>1 year, parts only</t>
        </is>
      </c>
    </row>
    <row r="100" ht="15" customHeight="1" s="254">
      <c r="A100" s="263" t="inlineStr">
        <is>
          <t>AC Charger - 2 x 7.2 kW UP160J-WMP Dual</t>
        </is>
      </c>
      <c r="C100" s="441" t="n">
        <v>416</v>
      </c>
      <c r="D100" s="441" t="n">
        <v>320.11</v>
      </c>
      <c r="E100" s="441" t="n">
        <v>736.11</v>
      </c>
      <c r="F100" s="455" t="inlineStr">
        <is>
          <t>NOT OFFERED</t>
        </is>
      </c>
      <c r="G100" s="324" t="inlineStr">
        <is>
          <t>1 year, parts only</t>
        </is>
      </c>
    </row>
    <row r="101" ht="15" customHeight="1" s="254">
      <c r="A101" s="263" t="inlineStr">
        <is>
          <t>DC-60kW CCS1 + NACS</t>
        </is>
      </c>
      <c r="C101" s="441" t="n">
        <v>962.84</v>
      </c>
      <c r="D101" s="441" t="n">
        <v>1476.36</v>
      </c>
      <c r="E101" s="441" t="n">
        <v>2439.2</v>
      </c>
      <c r="F101" s="455" t="inlineStr">
        <is>
          <t>NOT OFFERED</t>
        </is>
      </c>
      <c r="G101" s="324" t="inlineStr">
        <is>
          <t>2 years, parts only</t>
        </is>
      </c>
    </row>
    <row r="102" ht="15" customHeight="1" s="254">
      <c r="A102" s="263" t="inlineStr">
        <is>
          <t>DC-120kW CCS1 + NACS</t>
        </is>
      </c>
      <c r="C102" s="441" t="n">
        <v>1196.91</v>
      </c>
      <c r="D102" s="441" t="n">
        <v>1616.76</v>
      </c>
      <c r="E102" s="441" t="n">
        <v>2813.67</v>
      </c>
      <c r="F102" s="455" t="inlineStr">
        <is>
          <t>NOT OFFERED</t>
        </is>
      </c>
      <c r="G102" s="324" t="inlineStr">
        <is>
          <t>2 years, parts only</t>
        </is>
      </c>
    </row>
    <row r="103" ht="15" customHeight="1" s="254">
      <c r="A103" s="263" t="inlineStr">
        <is>
          <t>DC-160kW CCS1 + NACS</t>
        </is>
      </c>
      <c r="C103" s="441" t="n">
        <v>1428.57</v>
      </c>
      <c r="D103" s="441" t="n">
        <v>1879.2</v>
      </c>
      <c r="E103" s="441" t="n">
        <v>3307.77</v>
      </c>
      <c r="F103" s="455" t="inlineStr">
        <is>
          <t>NOT OFFERED</t>
        </is>
      </c>
      <c r="G103" s="324" t="inlineStr">
        <is>
          <t>2 years, parts only</t>
        </is>
      </c>
    </row>
    <row r="104" ht="15" customHeight="1" s="254">
      <c r="A104" s="263" t="inlineStr">
        <is>
          <t>DC-180KW</t>
        </is>
      </c>
      <c r="C104" s="441" t="n">
        <v>1856.844</v>
      </c>
      <c r="D104" s="441" t="n">
        <v>2708.64</v>
      </c>
      <c r="E104" s="441" t="n">
        <v>4565.484</v>
      </c>
      <c r="F104" s="455" t="inlineStr">
        <is>
          <t>NOT OFFERED</t>
        </is>
      </c>
      <c r="G104" s="324" t="inlineStr">
        <is>
          <t>2 years, parts only</t>
        </is>
      </c>
    </row>
    <row r="105" ht="15" customHeight="1" s="254">
      <c r="A105" s="263" t="inlineStr">
        <is>
          <t>DC-240KW</t>
        </is>
      </c>
      <c r="C105" s="441" t="n">
        <v>2708.64</v>
      </c>
      <c r="D105" s="441" t="n">
        <v>6478.754</v>
      </c>
      <c r="E105" s="441" t="n">
        <v>9187.394</v>
      </c>
      <c r="F105" s="455" t="inlineStr">
        <is>
          <t>NOT OFFERED</t>
        </is>
      </c>
      <c r="G105" s="324" t="inlineStr">
        <is>
          <t>2 years, parts only</t>
        </is>
      </c>
    </row>
    <row r="106" ht="15" customHeight="1" s="254">
      <c r="A106" s="263" t="inlineStr">
        <is>
          <t>DC-360kW CCS1 + CCS1</t>
        </is>
      </c>
      <c r="C106" s="441" t="n">
        <v>4051.08</v>
      </c>
      <c r="D106" s="441" t="n">
        <v>4898.88</v>
      </c>
      <c r="E106" s="441" t="n">
        <v>8949.959999999999</v>
      </c>
      <c r="F106" s="455" t="inlineStr">
        <is>
          <t>NOT OFFERED</t>
        </is>
      </c>
      <c r="G106" s="324" t="inlineStr">
        <is>
          <t>2 years, parts only</t>
        </is>
      </c>
    </row>
    <row r="107" ht="15" customHeight="1" s="254">
      <c r="A107" s="263" t="inlineStr">
        <is>
          <t>CTX-DSPB-360</t>
        </is>
      </c>
      <c r="B107" s="456" t="n"/>
      <c r="C107" s="441">
        <f>C106+(C106*25%)</f>
        <v/>
      </c>
      <c r="D107" s="441">
        <f>D106+(D106*25%)</f>
        <v/>
      </c>
      <c r="E107" s="441">
        <f>D107+C107</f>
        <v/>
      </c>
      <c r="F107" s="455" t="inlineStr">
        <is>
          <t>NOT OFFERED</t>
        </is>
      </c>
      <c r="G107" s="324" t="inlineStr">
        <is>
          <t>2 years, parts only</t>
        </is>
      </c>
    </row>
    <row r="108" ht="15" customHeight="1" s="254">
      <c r="A108" s="263" t="inlineStr">
        <is>
          <t>CTX-DSPB-480</t>
        </is>
      </c>
      <c r="B108" s="456" t="n"/>
      <c r="C108" s="441">
        <f>C107+(C107*30%)</f>
        <v/>
      </c>
      <c r="D108" s="441">
        <f>D107+(D107*25%)</f>
        <v/>
      </c>
      <c r="E108" s="441">
        <f>D108+C108</f>
        <v/>
      </c>
      <c r="F108" s="455" t="inlineStr">
        <is>
          <t>NOT OFFERED</t>
        </is>
      </c>
      <c r="G108" s="324" t="inlineStr">
        <is>
          <t>2 years, parts only</t>
        </is>
      </c>
    </row>
    <row r="109" ht="15" customHeight="1" s="254">
      <c r="A109" s="263" t="inlineStr">
        <is>
          <t>CTX-DSPB-1280</t>
        </is>
      </c>
      <c r="B109" s="456" t="n"/>
      <c r="C109" s="441">
        <f>C108+(C108*50%)</f>
        <v/>
      </c>
      <c r="D109" s="441">
        <f>D108+(D108*25%)</f>
        <v/>
      </c>
      <c r="E109" s="441">
        <f>D109+C109</f>
        <v/>
      </c>
      <c r="F109" s="455" t="inlineStr">
        <is>
          <t>NOT OFFERED</t>
        </is>
      </c>
      <c r="G109" s="324" t="inlineStr">
        <is>
          <t>2 years, parts only</t>
        </is>
      </c>
    </row>
    <row r="110" ht="14.25" customHeight="1" s="254">
      <c r="A110" s="263" t="inlineStr">
        <is>
          <t>CTX-DST-2-300/CTX-DST-HPC-2-500/300</t>
        </is>
      </c>
      <c r="C110" s="441" t="n">
        <v>962.84</v>
      </c>
      <c r="D110" s="441" t="n">
        <v>1476.36</v>
      </c>
      <c r="E110" s="441">
        <f>D110+C110</f>
        <v/>
      </c>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row>
    <row r="112" ht="19.5" customHeight="1" s="254">
      <c r="A112" s="285" t="inlineStr">
        <is>
          <t>The year-3+ rate is the yearly warranty plus the in-warranty service rate. Extending the warranty does not change what service costs; it adds back the warranty the manufacturer previously gave.</t>
        </is>
      </c>
    </row>
    <row r="114" ht="14.25" customHeight="1" s="254">
      <c r="E114" s="458" t="n"/>
    </row>
    <row r="115" ht="33.04000000000001" customHeight="1" s="254">
      <c r="A115" s="335" t="inlineStr">
        <is>
          <t>EQUIPMENT ARCHITECTURE — what each SKU is, not just what it costs</t>
        </is>
      </c>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row>
    <row r="117" ht="26.44" customHeight="1" s="254">
      <c r="A117" s="351" t="inlineStr">
        <is>
          <t>SKU</t>
        </is>
      </c>
      <c r="B117" s="352" t="inlineStr">
        <is>
          <t>Role</t>
        </is>
      </c>
      <c r="C117" s="351" t="inlineStr">
        <is>
          <t>DC output kW</t>
        </is>
      </c>
      <c r="D117" s="352" t="inlineStr">
        <is>
          <t>AC input kW</t>
        </is>
      </c>
      <c r="E117" s="352" t="inlineStr">
        <is>
          <t>AC input circuits</t>
        </is>
      </c>
      <c r="F117" s="352" t="inlineStr">
        <is>
          <t>AC FLA total</t>
        </is>
      </c>
      <c r="G117" s="352" t="inlineStr">
        <is>
          <t>DC outputs / connectors</t>
        </is>
      </c>
      <c r="H117" s="352" t="inlineStr">
        <is>
          <t>Max dual dispensers</t>
        </is>
      </c>
      <c r="I117" s="351" t="inlineStr">
        <is>
          <t>Source and confidence</t>
        </is>
      </c>
    </row>
    <row r="118" ht="19.5" customHeight="1" s="254">
      <c r="A118" s="459" t="inlineStr">
        <is>
          <t>CTX-DSPB-360</t>
        </is>
      </c>
      <c r="B118" s="460" t="inlineStr">
        <is>
          <t>Power cabinet — no connectors</t>
        </is>
      </c>
      <c r="C118" s="461" t="n">
        <v>360</v>
      </c>
      <c r="D118" s="461" t="n">
        <v>393</v>
      </c>
      <c r="E118" s="461" t="n">
        <v>2</v>
      </c>
      <c r="F118" s="461" t="n">
        <v>472.7</v>
      </c>
      <c r="G118" s="461" t="n">
        <v>6</v>
      </c>
      <c r="H118" s="461" t="n">
        <v>3</v>
      </c>
      <c r="I118" s="462"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row>
    <row r="119" ht="25.12" customHeight="1" s="254">
      <c r="A119" s="459" t="inlineStr">
        <is>
          <t>CTX-DSPB-480</t>
        </is>
      </c>
      <c r="B119" s="460" t="inlineStr">
        <is>
          <t>Power cabinet — no connectors</t>
        </is>
      </c>
      <c r="C119" s="461" t="n">
        <v>480</v>
      </c>
      <c r="D119" s="461" t="n">
        <v>524</v>
      </c>
      <c r="E119" s="461" t="n">
        <v>2</v>
      </c>
      <c r="F119" s="461" t="n">
        <v>630.3</v>
      </c>
      <c r="G119" s="461" t="n">
        <v>6</v>
      </c>
      <c r="H119" s="461" t="n">
        <v>3</v>
      </c>
      <c r="I119" s="463"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row>
    <row r="120" ht="19.5" customHeight="1" s="254">
      <c r="A120" s="459" t="inlineStr">
        <is>
          <t>CTX-DSPB-1280</t>
        </is>
      </c>
      <c r="B120" s="460" t="inlineStr">
        <is>
          <t>Power cabinet — no connectors</t>
        </is>
      </c>
      <c r="C120" s="461" t="n">
        <v>1280</v>
      </c>
      <c r="D120" s="461" t="n">
        <v>1397.3</v>
      </c>
      <c r="E120" s="461" t="n">
        <v>6</v>
      </c>
      <c r="F120" s="461" t="n">
        <v>1680.7</v>
      </c>
      <c r="G120" s="461" t="n">
        <v>16</v>
      </c>
      <c r="H120" s="461" t="n">
        <v>8</v>
      </c>
      <c r="I120" s="462"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row>
    <row r="121" ht="19.5" customHeight="1" s="254">
      <c r="A121" s="459" t="inlineStr">
        <is>
          <t>CTX-DST-2-300</t>
        </is>
      </c>
      <c r="B121" s="460" t="inlineStr">
        <is>
          <t>Dispenser — connectors only</t>
        </is>
      </c>
      <c r="C121" s="461" t="n">
        <v>0</v>
      </c>
      <c r="D121" s="461" t="n">
        <v>0</v>
      </c>
      <c r="E121" s="461" t="n">
        <v>0</v>
      </c>
      <c r="F121" s="461" t="n">
        <v>0</v>
      </c>
      <c r="G121" s="461" t="n">
        <v>2</v>
      </c>
      <c r="H121" s="461" t="n">
        <v>0</v>
      </c>
      <c r="I121" s="463"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row>
    <row r="122" ht="19.5" customHeight="1" s="254">
      <c r="A122" s="459" t="inlineStr">
        <is>
          <t>CTX-DST-HPC-2-500/300</t>
        </is>
      </c>
      <c r="B122" s="460" t="inlineStr">
        <is>
          <t>Dispenser — connectors only</t>
        </is>
      </c>
      <c r="C122" s="461" t="n">
        <v>0</v>
      </c>
      <c r="D122" s="461" t="n">
        <v>0</v>
      </c>
      <c r="E122" s="461" t="n">
        <v>0</v>
      </c>
      <c r="F122" s="461" t="n">
        <v>0</v>
      </c>
      <c r="G122" s="461" t="n">
        <v>2</v>
      </c>
      <c r="H122" s="461" t="n">
        <v>0</v>
      </c>
      <c r="I122" s="464" t="inlineStr">
        <is>
          <t>PUBLISHED — liquid-cooled connector rated 500 A, air-cooled 200/350 A boost to 400 A.</t>
        </is>
      </c>
      <c r="J122" s="299" t="n"/>
    </row>
    <row r="124" ht="19.5" customHeight="1" s="254">
      <c r="A124" s="465" t="inlineStr">
        <is>
          <t>MISSING FROM THE PRICE BOOK — Nexus Fleet Dispenser</t>
        </is>
      </c>
      <c r="C124" s="338" t="inlineStr">
        <is>
          <t>single connector, CCS1/NACS air cooled 200/350 A, 50 kg, 5 m or 7 m cable, no user interface — in the published range but absent from the price book, so it cannot be quoted.</t>
        </is>
      </c>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25.5" customHeight="1" s="254">
      <c r="A1" s="255" t="inlineStr">
        <is>
          <t>REFERENCE DATA</t>
        </is>
      </c>
    </row>
    <row r="2" ht="31.5" customHeight="1" s="254">
      <c r="A2" s="265" t="inlineStr">
        <is>
          <t>Lookup tables used by the electrical checks and the costing engine.</t>
        </is>
      </c>
    </row>
    <row r="3" ht="15" customHeight="1" s="254">
      <c r="A3" s="466" t="inlineStr">
        <is>
          <t>Amps required</t>
        </is>
      </c>
      <c r="B3" s="466" t="inlineStr">
        <is>
          <t>Standard frame</t>
        </is>
      </c>
      <c r="D3" s="466" t="inlineStr">
        <is>
          <t>Charger kW</t>
        </is>
      </c>
      <c r="E3" s="466" t="inlineStr">
        <is>
          <t>Design amps</t>
        </is>
      </c>
      <c r="F3" s="466" t="inlineStr">
        <is>
          <t>Breaker A</t>
        </is>
      </c>
    </row>
    <row r="4" ht="15" customHeight="1" s="254">
      <c r="A4" s="454" t="n">
        <v>0</v>
      </c>
      <c r="B4" s="454" t="n">
        <v>400</v>
      </c>
      <c r="D4" s="454" t="n">
        <v>30</v>
      </c>
      <c r="E4" s="454" t="n">
        <v>40</v>
      </c>
      <c r="F4" s="454" t="n">
        <v>50</v>
      </c>
    </row>
    <row r="5" ht="15" customHeight="1" s="254">
      <c r="A5" s="454" t="n">
        <v>400</v>
      </c>
      <c r="B5" s="454" t="n">
        <v>600</v>
      </c>
      <c r="D5" s="454" t="n">
        <v>50</v>
      </c>
      <c r="E5" s="454" t="n">
        <v>72</v>
      </c>
      <c r="F5" s="454" t="n">
        <v>100</v>
      </c>
    </row>
    <row r="6" ht="15" customHeight="1" s="254">
      <c r="A6" s="454" t="n">
        <v>600</v>
      </c>
      <c r="B6" s="454" t="n">
        <v>800</v>
      </c>
      <c r="D6" s="454" t="n">
        <v>60</v>
      </c>
      <c r="E6" s="454" t="n">
        <v>80</v>
      </c>
      <c r="F6" s="454" t="n">
        <v>100</v>
      </c>
    </row>
    <row r="7" ht="15" customHeight="1" s="254">
      <c r="A7" s="454" t="n">
        <v>800</v>
      </c>
      <c r="B7" s="454" t="n">
        <v>1000</v>
      </c>
      <c r="D7" s="454" t="n">
        <v>100</v>
      </c>
      <c r="E7" s="454" t="n">
        <v>130</v>
      </c>
      <c r="F7" s="454" t="n">
        <v>200</v>
      </c>
    </row>
    <row r="8" ht="15" customHeight="1" s="254">
      <c r="A8" s="454" t="n">
        <v>1000</v>
      </c>
      <c r="B8" s="454" t="n">
        <v>1200</v>
      </c>
      <c r="D8" s="454" t="n">
        <v>120</v>
      </c>
      <c r="E8" s="454" t="n">
        <v>160</v>
      </c>
      <c r="F8" s="454" t="n">
        <v>200</v>
      </c>
    </row>
    <row r="9" ht="15" customHeight="1" s="254">
      <c r="A9" s="454" t="n">
        <v>1200</v>
      </c>
      <c r="B9" s="454" t="n">
        <v>1600</v>
      </c>
      <c r="D9" s="454" t="n">
        <v>160</v>
      </c>
      <c r="E9" s="454" t="n">
        <v>215</v>
      </c>
      <c r="F9" s="454" t="n">
        <v>300</v>
      </c>
    </row>
    <row r="10" ht="15" customHeight="1" s="254">
      <c r="A10" s="454" t="n">
        <v>1600</v>
      </c>
      <c r="B10" s="454" t="n">
        <v>2000</v>
      </c>
      <c r="D10" s="454" t="n">
        <v>180</v>
      </c>
      <c r="E10" s="454" t="n">
        <v>240</v>
      </c>
      <c r="F10" s="454" t="n">
        <v>300</v>
      </c>
    </row>
    <row r="11" ht="15" customHeight="1" s="254">
      <c r="A11" s="454" t="n">
        <v>2000</v>
      </c>
      <c r="B11" s="454" t="n">
        <v>2500</v>
      </c>
      <c r="D11" s="454" t="n">
        <v>200</v>
      </c>
      <c r="E11" s="454" t="n">
        <v>265</v>
      </c>
      <c r="F11" s="454" t="n">
        <v>335</v>
      </c>
    </row>
    <row r="12" ht="15" customHeight="1" s="254">
      <c r="A12" s="454" t="n">
        <v>2500</v>
      </c>
      <c r="B12" s="454" t="n">
        <v>3200</v>
      </c>
      <c r="D12" s="454" t="n">
        <v>240</v>
      </c>
      <c r="E12" s="454" t="n">
        <v>320</v>
      </c>
      <c r="F12" s="454" t="n">
        <v>400</v>
      </c>
    </row>
    <row r="13" ht="15" customHeight="1" s="254">
      <c r="A13" s="454" t="n">
        <v>3200</v>
      </c>
      <c r="B13" s="454" t="n">
        <v>4000</v>
      </c>
      <c r="D13" s="454" t="n">
        <v>275</v>
      </c>
      <c r="E13" s="454" t="n">
        <v>385</v>
      </c>
      <c r="F13" s="454" t="n">
        <v>500</v>
      </c>
    </row>
    <row r="14" ht="15" customHeight="1" s="254">
      <c r="A14" s="454" t="n">
        <v>4000</v>
      </c>
      <c r="B14" s="454" t="n">
        <v>5000</v>
      </c>
      <c r="D14" s="454" t="n">
        <v>300</v>
      </c>
      <c r="E14" s="454" t="n">
        <v>400</v>
      </c>
      <c r="F14" s="454" t="n">
        <v>500</v>
      </c>
    </row>
    <row r="15" ht="15" customHeight="1" s="254">
      <c r="A15" s="454" t="n">
        <v>5000</v>
      </c>
      <c r="B15" s="454" t="n">
        <v>6000</v>
      </c>
      <c r="D15" s="454" t="n">
        <v>360</v>
      </c>
      <c r="E15" s="454" t="n">
        <v>480</v>
      </c>
      <c r="F15" s="454" t="n">
        <v>600</v>
      </c>
    </row>
    <row r="16" ht="15" customHeight="1" s="254">
      <c r="A16" s="454" t="n">
        <v>6000</v>
      </c>
      <c r="B16" s="454" t="n">
        <v>10000</v>
      </c>
    </row>
    <row r="17" s="254"/>
    <row r="18" ht="15" customHeight="1" s="254">
      <c r="A18" s="262" t="inlineStr">
        <is>
          <t>480V SWITCHGEAR AND BREAKER PRICES</t>
        </is>
      </c>
    </row>
    <row r="19" ht="15" customHeight="1" s="254">
      <c r="A19" s="268" t="inlineStr">
        <is>
          <t>Item</t>
        </is>
      </c>
      <c r="B19" s="268" t="inlineStr">
        <is>
          <t>Size</t>
        </is>
      </c>
      <c r="C19" s="268" t="inlineStr">
        <is>
          <t>Cost</t>
        </is>
      </c>
    </row>
    <row r="20" ht="15" customHeight="1" s="254">
      <c r="A20" s="263" t="inlineStr">
        <is>
          <t>Main</t>
        </is>
      </c>
      <c r="B20" s="263" t="inlineStr">
        <is>
          <t>400A</t>
        </is>
      </c>
      <c r="C20" s="441" t="n">
        <v>20426.82</v>
      </c>
    </row>
    <row r="21" ht="15" customHeight="1" s="254">
      <c r="A21" s="263" t="inlineStr">
        <is>
          <t>Main</t>
        </is>
      </c>
      <c r="B21" s="263" t="inlineStr">
        <is>
          <t>800A</t>
        </is>
      </c>
      <c r="C21" s="441" t="n">
        <v>31187</v>
      </c>
    </row>
    <row r="22" ht="15" customHeight="1" s="254">
      <c r="A22" s="263" t="inlineStr">
        <is>
          <t>Main</t>
        </is>
      </c>
      <c r="B22" s="263" t="inlineStr">
        <is>
          <t>1000A</t>
        </is>
      </c>
      <c r="C22" s="441" t="n">
        <v>36812.5</v>
      </c>
    </row>
    <row r="23" ht="15" customHeight="1" s="254">
      <c r="A23" s="263" t="inlineStr">
        <is>
          <t>Main</t>
        </is>
      </c>
      <c r="B23" s="263" t="inlineStr">
        <is>
          <t>1200A</t>
        </is>
      </c>
      <c r="C23" s="441" t="n">
        <v>43292.68</v>
      </c>
    </row>
    <row r="24" ht="15" customHeight="1" s="254">
      <c r="A24" s="263" t="inlineStr">
        <is>
          <t>Main</t>
        </is>
      </c>
      <c r="B24" s="263" t="inlineStr">
        <is>
          <t>1600A</t>
        </is>
      </c>
      <c r="C24" s="441" t="n">
        <v>56750</v>
      </c>
    </row>
    <row r="25" ht="15" customHeight="1" s="254">
      <c r="A25" s="263" t="inlineStr">
        <is>
          <t>Main</t>
        </is>
      </c>
      <c r="B25" s="263" t="inlineStr">
        <is>
          <t>2000A</t>
        </is>
      </c>
      <c r="C25" s="441" t="n">
        <v>60000</v>
      </c>
    </row>
    <row r="26" ht="15" customHeight="1" s="254">
      <c r="A26" s="263" t="inlineStr">
        <is>
          <t>Main</t>
        </is>
      </c>
      <c r="B26" s="263" t="inlineStr">
        <is>
          <t>2500A</t>
        </is>
      </c>
      <c r="C26" s="441" t="n">
        <v>58540</v>
      </c>
    </row>
    <row r="27" ht="15" customHeight="1" s="254">
      <c r="A27" s="263" t="inlineStr">
        <is>
          <t>Main</t>
        </is>
      </c>
      <c r="B27" s="263" t="inlineStr">
        <is>
          <t>3000A</t>
        </is>
      </c>
      <c r="C27" s="441" t="n">
        <v>65000</v>
      </c>
    </row>
    <row r="28" ht="15" customHeight="1" s="254">
      <c r="A28" s="263" t="inlineStr">
        <is>
          <t>Main</t>
        </is>
      </c>
      <c r="B28" s="263" t="inlineStr">
        <is>
          <t>4000A</t>
        </is>
      </c>
      <c r="C28" s="441" t="n">
        <v>67500</v>
      </c>
    </row>
    <row r="29" ht="15" customHeight="1" s="254">
      <c r="A29" s="263" t="inlineStr">
        <is>
          <t>Main</t>
        </is>
      </c>
      <c r="B29" s="263" t="inlineStr">
        <is>
          <t>5000A</t>
        </is>
      </c>
      <c r="C29" s="441" t="n">
        <v>70000</v>
      </c>
    </row>
    <row r="30" ht="15" customHeight="1" s="254">
      <c r="A30" s="263" t="inlineStr">
        <is>
          <t>main breakers</t>
        </is>
      </c>
      <c r="B30" s="263" t="inlineStr">
        <is>
          <t>110A</t>
        </is>
      </c>
      <c r="C30" s="441" t="n">
        <v>650</v>
      </c>
    </row>
    <row r="31" ht="15" customHeight="1" s="254">
      <c r="A31" s="263" t="inlineStr">
        <is>
          <t>main breakers</t>
        </is>
      </c>
      <c r="B31" s="263" t="inlineStr">
        <is>
          <t>125A</t>
        </is>
      </c>
      <c r="C31" s="441" t="n">
        <v>700</v>
      </c>
    </row>
    <row r="32" ht="15" customHeight="1" s="254">
      <c r="A32" s="263" t="inlineStr">
        <is>
          <t>main breakers</t>
        </is>
      </c>
      <c r="B32" s="263" t="inlineStr">
        <is>
          <t>250A</t>
        </is>
      </c>
      <c r="C32" s="441" t="n">
        <v>1100</v>
      </c>
    </row>
    <row r="33" ht="15" customHeight="1" s="254">
      <c r="A33" s="263" t="inlineStr">
        <is>
          <t>main breakers</t>
        </is>
      </c>
      <c r="B33" s="263" t="inlineStr">
        <is>
          <t>3000A</t>
        </is>
      </c>
      <c r="C33" s="441" t="n">
        <v>32500</v>
      </c>
    </row>
    <row r="34" ht="15" customHeight="1" s="254">
      <c r="A34" s="263" t="inlineStr">
        <is>
          <t>breakers</t>
        </is>
      </c>
      <c r="B34" s="263" t="inlineStr">
        <is>
          <t>100A</t>
        </is>
      </c>
      <c r="C34" s="441" t="n">
        <v>580</v>
      </c>
    </row>
    <row r="35" ht="15" customHeight="1" s="254">
      <c r="A35" s="263" t="inlineStr">
        <is>
          <t>breakers</t>
        </is>
      </c>
      <c r="B35" s="263" t="inlineStr">
        <is>
          <t>200A</t>
        </is>
      </c>
      <c r="C35" s="441" t="n">
        <v>900</v>
      </c>
    </row>
    <row r="36" ht="15" customHeight="1" s="254">
      <c r="A36" s="263" t="inlineStr">
        <is>
          <t>breakers</t>
        </is>
      </c>
      <c r="B36" s="263" t="inlineStr">
        <is>
          <t>300A</t>
        </is>
      </c>
      <c r="C36" s="441" t="n">
        <v>1450</v>
      </c>
    </row>
    <row r="37" ht="15" customHeight="1" s="254">
      <c r="A37" s="263" t="inlineStr">
        <is>
          <t>breakers</t>
        </is>
      </c>
      <c r="B37" s="263" t="inlineStr">
        <is>
          <t>500A</t>
        </is>
      </c>
      <c r="C37" s="441" t="n">
        <v>3100</v>
      </c>
    </row>
    <row r="38" ht="15" customHeight="1" s="254">
      <c r="A38" s="263" t="inlineStr">
        <is>
          <t>breakers</t>
        </is>
      </c>
      <c r="B38" s="263" t="inlineStr">
        <is>
          <t>600A</t>
        </is>
      </c>
      <c r="C38" s="441" t="n">
        <v>3700</v>
      </c>
    </row>
    <row r="39" ht="14.25" customHeight="1" s="254">
      <c r="A39" s="263" t="inlineStr">
        <is>
          <t>disconnects</t>
        </is>
      </c>
      <c r="B39" s="263" t="inlineStr">
        <is>
          <t>500A</t>
        </is>
      </c>
      <c r="C39" s="441" t="n">
        <v>4000</v>
      </c>
    </row>
    <row r="40" ht="15" customHeight="1" s="254">
      <c r="A40" s="262" t="inlineStr">
        <is>
          <t>CONDUCTOR AND CONDUIT — $ PER FOOT</t>
        </is>
      </c>
    </row>
    <row r="41" ht="15" customHeight="1" s="254">
      <c r="A41" s="268" t="inlineStr">
        <is>
          <t>Wire size</t>
        </is>
      </c>
      <c r="B41" s="268" t="inlineStr">
        <is>
          <t>Copper $/ft</t>
        </is>
      </c>
      <c r="C41" s="268" t="inlineStr">
        <is>
          <t>Aluminium $/ft</t>
        </is>
      </c>
      <c r="D41" s="268" t="inlineStr">
        <is>
          <t>Conduit size</t>
        </is>
      </c>
      <c r="E41" s="268" t="inlineStr">
        <is>
          <t>PVC $/ft</t>
        </is>
      </c>
    </row>
    <row r="42" ht="15" customHeight="1" s="254">
      <c r="A42" s="263" t="inlineStr">
        <is>
          <t>10 AWG</t>
        </is>
      </c>
      <c r="B42" s="467" t="n">
        <v>0.30329</v>
      </c>
      <c r="C42" s="467" t="n">
        <v>0.28</v>
      </c>
      <c r="D42" s="263" t="inlineStr">
        <is>
          <t>(1/2")</t>
        </is>
      </c>
      <c r="E42" s="467" t="n">
        <v>0.2445</v>
      </c>
    </row>
    <row r="43" ht="15" customHeight="1" s="254">
      <c r="A43" s="263" t="inlineStr">
        <is>
          <t>8 AWG</t>
        </is>
      </c>
      <c r="B43" s="467" t="n">
        <v>0.56613</v>
      </c>
      <c r="D43" s="263" t="inlineStr">
        <is>
          <t>(3/4")</t>
        </is>
      </c>
      <c r="E43" s="467" t="n">
        <v>0.2912</v>
      </c>
    </row>
    <row r="44" ht="15" customHeight="1" s="254">
      <c r="A44" s="263" t="inlineStr">
        <is>
          <t>6 AWG</t>
        </is>
      </c>
      <c r="B44" s="467" t="n">
        <v>0.87104</v>
      </c>
      <c r="C44" s="467" t="n">
        <v>0.30636</v>
      </c>
      <c r="D44" s="263" t="inlineStr">
        <is>
          <t>(1")</t>
        </is>
      </c>
      <c r="E44" s="467" t="n">
        <v>0.4698</v>
      </c>
    </row>
    <row r="45" ht="15" customHeight="1" s="254">
      <c r="A45" s="263" t="inlineStr">
        <is>
          <t>4 AWG</t>
        </is>
      </c>
      <c r="B45" s="467" t="n">
        <v>1.33293</v>
      </c>
      <c r="C45" s="467" t="n">
        <v>0.37998</v>
      </c>
      <c r="D45" s="263" t="inlineStr">
        <is>
          <t>(1 1/4")</t>
        </is>
      </c>
      <c r="E45" s="467" t="n">
        <v>0.6155</v>
      </c>
    </row>
    <row r="46" ht="15" customHeight="1" s="254">
      <c r="A46" s="263" t="inlineStr">
        <is>
          <t>2 AWG</t>
        </is>
      </c>
      <c r="B46" s="467" t="n">
        <v>2.1044</v>
      </c>
      <c r="C46" s="467" t="n">
        <v>0.36681</v>
      </c>
      <c r="D46" s="263" t="inlineStr">
        <is>
          <t>(1 1/2")</t>
        </is>
      </c>
      <c r="E46" s="467" t="n">
        <v>0.7129</v>
      </c>
    </row>
    <row r="47" ht="15" customHeight="1" s="254">
      <c r="A47" s="263" t="inlineStr">
        <is>
          <t>1 AWG</t>
        </is>
      </c>
      <c r="B47" s="467" t="n">
        <v>2.39833</v>
      </c>
      <c r="C47" s="467" t="n">
        <v>0.4821</v>
      </c>
      <c r="D47" s="263" t="inlineStr">
        <is>
          <t>(2")</t>
        </is>
      </c>
      <c r="E47" s="467" t="n">
        <v>0.8897</v>
      </c>
    </row>
    <row r="48" ht="15" customHeight="1" s="254">
      <c r="A48" s="263" t="inlineStr">
        <is>
          <t>1 /0</t>
        </is>
      </c>
      <c r="B48" s="467" t="n">
        <v>2.95304</v>
      </c>
      <c r="C48" s="467" t="n">
        <v>0.66733</v>
      </c>
      <c r="D48" s="263" t="inlineStr">
        <is>
          <t>(2 1/2")</t>
        </is>
      </c>
      <c r="E48" s="467" t="n">
        <v>1.396</v>
      </c>
    </row>
    <row r="49" ht="15" customHeight="1" s="254">
      <c r="A49" s="263" t="inlineStr">
        <is>
          <t>2 /0</t>
        </is>
      </c>
      <c r="B49" s="467" t="n">
        <v>3.63758</v>
      </c>
      <c r="C49" s="467" t="n">
        <v>0.75045</v>
      </c>
      <c r="D49" s="263" t="inlineStr">
        <is>
          <t xml:space="preserve">(3") </t>
        </is>
      </c>
      <c r="E49" s="467" t="n">
        <v>1.7033</v>
      </c>
    </row>
    <row r="50" ht="15" customHeight="1" s="254">
      <c r="A50" s="263" t="inlineStr">
        <is>
          <t>3 /0</t>
        </is>
      </c>
      <c r="B50" s="467" t="n">
        <v>4.5658</v>
      </c>
      <c r="C50" s="467" t="n">
        <v>0.88701</v>
      </c>
      <c r="D50" s="263" t="inlineStr">
        <is>
          <t>(3  1/2")</t>
        </is>
      </c>
      <c r="E50" s="467" t="n">
        <v>2.25</v>
      </c>
    </row>
    <row r="51" ht="15" customHeight="1" s="254">
      <c r="A51" s="263" t="inlineStr">
        <is>
          <t>4 /0</t>
        </is>
      </c>
      <c r="B51" s="467" t="n">
        <v>5.73045</v>
      </c>
      <c r="C51" s="467" t="n">
        <v>1.09956</v>
      </c>
      <c r="D51" s="263" t="inlineStr">
        <is>
          <t>(4")</t>
        </is>
      </c>
      <c r="E51" s="467" t="n">
        <v>2.3164</v>
      </c>
    </row>
    <row r="52" ht="15" customHeight="1" s="254">
      <c r="A52" s="263" t="inlineStr">
        <is>
          <t>250 KCMIL</t>
        </is>
      </c>
      <c r="B52" s="467" t="n">
        <v>6.64016</v>
      </c>
      <c r="C52" s="467" t="n">
        <v>1.2278</v>
      </c>
      <c r="D52" s="263" t="inlineStr">
        <is>
          <t>(5")</t>
        </is>
      </c>
      <c r="E52" s="467" t="n">
        <v>3.3106</v>
      </c>
    </row>
    <row r="53" ht="15" customHeight="1" s="254">
      <c r="A53" s="263" t="inlineStr">
        <is>
          <t>300 KCMIL</t>
        </is>
      </c>
      <c r="B53" s="467" t="n">
        <v>7.9632</v>
      </c>
      <c r="C53" s="467" t="n">
        <v>1.49616</v>
      </c>
    </row>
    <row r="54" ht="15" customHeight="1" s="254">
      <c r="A54" s="263" t="inlineStr">
        <is>
          <t>350 KCMIL</t>
        </is>
      </c>
      <c r="B54" s="467" t="n">
        <v>9.324159999999999</v>
      </c>
      <c r="C54" s="467" t="n">
        <v>2.06137</v>
      </c>
    </row>
    <row r="55" ht="15" customHeight="1" s="254">
      <c r="A55" s="263" t="inlineStr">
        <is>
          <t>400 KCMIL</t>
        </is>
      </c>
      <c r="B55" s="467" t="n">
        <v>10.60671</v>
      </c>
      <c r="C55" s="467" t="n">
        <v>2.10412</v>
      </c>
    </row>
    <row r="56" ht="15" customHeight="1" s="254">
      <c r="A56" s="263" t="inlineStr">
        <is>
          <t>450 KCMIL</t>
        </is>
      </c>
      <c r="B56" s="467" t="n">
        <v>11.334</v>
      </c>
      <c r="C56" s="467" t="n">
        <v>2.7204</v>
      </c>
    </row>
    <row r="57" ht="15" customHeight="1" s="254">
      <c r="A57" s="263" t="inlineStr">
        <is>
          <t>500 KCMIL</t>
        </is>
      </c>
      <c r="B57" s="467" t="n">
        <v>13.30059</v>
      </c>
      <c r="C57" s="467" t="n">
        <v>2.7204</v>
      </c>
    </row>
    <row r="58" ht="15" customHeight="1" s="254">
      <c r="A58" s="263" t="inlineStr">
        <is>
          <t>600 KCMIL</t>
        </is>
      </c>
      <c r="B58" s="467" t="n">
        <v>16.57382</v>
      </c>
      <c r="C58" s="467" t="n">
        <v>2.7204</v>
      </c>
    </row>
    <row r="59" ht="15" customHeight="1" s="254">
      <c r="A59" s="263" t="inlineStr">
        <is>
          <t>750 KCMIL</t>
        </is>
      </c>
      <c r="B59" s="467" t="n">
        <v>25.921</v>
      </c>
      <c r="C59" s="467" t="n">
        <v>4.809</v>
      </c>
    </row>
    <row r="60" ht="15" customHeight="1" s="254">
      <c r="A60" s="263" t="inlineStr">
        <is>
          <t>1000 KCMIL</t>
        </is>
      </c>
      <c r="B60" s="467" t="n">
        <v>34.398</v>
      </c>
      <c r="C60" s="467" t="n">
        <v>7.566</v>
      </c>
    </row>
    <row r="61" s="254"/>
    <row r="62" s="254"/>
    <row r="63" ht="14.25" customHeight="1" s="254">
      <c r="A63" s="345" t="inlineStr">
        <is>
          <t>CONDUCTOR AMPACITY — NEC Table 310.16</t>
        </is>
      </c>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468" t="inlineStr">
        <is>
          <t>Cu-60</t>
        </is>
      </c>
      <c r="C65" s="468" t="inlineStr">
        <is>
          <t>Cu-75</t>
        </is>
      </c>
      <c r="D65" s="468" t="inlineStr">
        <is>
          <t>Cu-90</t>
        </is>
      </c>
      <c r="E65" s="468" t="inlineStr">
        <is>
          <t>Al-60</t>
        </is>
      </c>
      <c r="F65" s="468" t="inlineStr">
        <is>
          <t>Al-75</t>
        </is>
      </c>
      <c r="G65" s="468" t="inlineStr">
        <is>
          <t>Al-90</t>
        </is>
      </c>
    </row>
    <row r="66" ht="14.25" customHeight="1" s="254">
      <c r="A66" s="324" t="inlineStr">
        <is>
          <t>10 AWG</t>
        </is>
      </c>
      <c r="B66" s="354" t="n">
        <v>30</v>
      </c>
      <c r="C66" s="354" t="n">
        <v>35</v>
      </c>
      <c r="D66" s="354" t="n">
        <v>40</v>
      </c>
      <c r="E66" s="354" t="n">
        <v>25</v>
      </c>
      <c r="F66" s="354" t="n">
        <v>30</v>
      </c>
      <c r="G66" s="354" t="n">
        <v>35</v>
      </c>
    </row>
    <row r="67" ht="14.25" customHeight="1" s="254">
      <c r="A67" s="324" t="inlineStr">
        <is>
          <t>8 AWG</t>
        </is>
      </c>
      <c r="B67" s="354" t="n">
        <v>40</v>
      </c>
      <c r="C67" s="354" t="n">
        <v>50</v>
      </c>
      <c r="D67" s="354" t="n">
        <v>55</v>
      </c>
      <c r="E67" s="354" t="n">
        <v>35</v>
      </c>
      <c r="F67" s="354" t="n">
        <v>40</v>
      </c>
      <c r="G67" s="354" t="n">
        <v>45</v>
      </c>
    </row>
    <row r="68" ht="14.25" customHeight="1" s="254">
      <c r="A68" s="324" t="inlineStr">
        <is>
          <t>6 AWG</t>
        </is>
      </c>
      <c r="B68" s="354" t="n">
        <v>55</v>
      </c>
      <c r="C68" s="354" t="n">
        <v>65</v>
      </c>
      <c r="D68" s="354" t="n">
        <v>75</v>
      </c>
      <c r="E68" s="354" t="n">
        <v>40</v>
      </c>
      <c r="F68" s="354" t="n">
        <v>50</v>
      </c>
      <c r="G68" s="354" t="n">
        <v>55</v>
      </c>
    </row>
    <row r="69" ht="14.25" customHeight="1" s="254">
      <c r="A69" s="324" t="inlineStr">
        <is>
          <t>4 AWG</t>
        </is>
      </c>
      <c r="B69" s="354" t="n">
        <v>70</v>
      </c>
      <c r="C69" s="354" t="n">
        <v>85</v>
      </c>
      <c r="D69" s="354" t="n">
        <v>95</v>
      </c>
      <c r="E69" s="354" t="n">
        <v>55</v>
      </c>
      <c r="F69" s="354" t="n">
        <v>65</v>
      </c>
      <c r="G69" s="354" t="n">
        <v>75</v>
      </c>
    </row>
    <row r="70" ht="14.25" customHeight="1" s="254">
      <c r="A70" s="324" t="inlineStr">
        <is>
          <t>2 AWG</t>
        </is>
      </c>
      <c r="B70" s="354" t="n">
        <v>95</v>
      </c>
      <c r="C70" s="354" t="n">
        <v>115</v>
      </c>
      <c r="D70" s="354" t="n">
        <v>130</v>
      </c>
      <c r="E70" s="354" t="n">
        <v>75</v>
      </c>
      <c r="F70" s="354" t="n">
        <v>90</v>
      </c>
      <c r="G70" s="354" t="n">
        <v>100</v>
      </c>
    </row>
    <row r="71" ht="14.25" customHeight="1" s="254">
      <c r="A71" s="324" t="inlineStr">
        <is>
          <t>1 AWG</t>
        </is>
      </c>
      <c r="B71" s="354" t="n">
        <v>110</v>
      </c>
      <c r="C71" s="354" t="n">
        <v>130</v>
      </c>
      <c r="D71" s="354" t="n">
        <v>145</v>
      </c>
      <c r="E71" s="354" t="n">
        <v>85</v>
      </c>
      <c r="F71" s="354" t="n">
        <v>100</v>
      </c>
      <c r="G71" s="354" t="n">
        <v>115</v>
      </c>
    </row>
    <row r="72" ht="14.25" customHeight="1" s="254">
      <c r="A72" s="324" t="inlineStr">
        <is>
          <t>1 /0</t>
        </is>
      </c>
      <c r="B72" s="354" t="n">
        <v>125</v>
      </c>
      <c r="C72" s="354" t="n">
        <v>150</v>
      </c>
      <c r="D72" s="354" t="n">
        <v>170</v>
      </c>
      <c r="E72" s="354" t="n">
        <v>100</v>
      </c>
      <c r="F72" s="354" t="n">
        <v>120</v>
      </c>
      <c r="G72" s="354" t="n">
        <v>135</v>
      </c>
    </row>
    <row r="73" ht="14.25" customHeight="1" s="254">
      <c r="A73" s="324" t="inlineStr">
        <is>
          <t>2 /0</t>
        </is>
      </c>
      <c r="B73" s="354" t="n">
        <v>145</v>
      </c>
      <c r="C73" s="354" t="n">
        <v>175</v>
      </c>
      <c r="D73" s="354" t="n">
        <v>195</v>
      </c>
      <c r="E73" s="354" t="n">
        <v>115</v>
      </c>
      <c r="F73" s="354" t="n">
        <v>135</v>
      </c>
      <c r="G73" s="354" t="n">
        <v>150</v>
      </c>
    </row>
    <row r="74" ht="14.25" customHeight="1" s="254">
      <c r="A74" s="324" t="inlineStr">
        <is>
          <t>3 /0</t>
        </is>
      </c>
      <c r="B74" s="354" t="n">
        <v>165</v>
      </c>
      <c r="C74" s="354" t="n">
        <v>200</v>
      </c>
      <c r="D74" s="354" t="n">
        <v>225</v>
      </c>
      <c r="E74" s="354" t="n">
        <v>130</v>
      </c>
      <c r="F74" s="354" t="n">
        <v>155</v>
      </c>
      <c r="G74" s="354" t="n">
        <v>175</v>
      </c>
    </row>
    <row r="75" ht="14.25" customHeight="1" s="254">
      <c r="A75" s="324" t="inlineStr">
        <is>
          <t>4 /0</t>
        </is>
      </c>
      <c r="B75" s="354" t="n">
        <v>195</v>
      </c>
      <c r="C75" s="354" t="n">
        <v>230</v>
      </c>
      <c r="D75" s="354" t="n">
        <v>260</v>
      </c>
      <c r="E75" s="354" t="n">
        <v>150</v>
      </c>
      <c r="F75" s="354" t="n">
        <v>180</v>
      </c>
      <c r="G75" s="354" t="n">
        <v>205</v>
      </c>
    </row>
    <row r="76" ht="14.25" customHeight="1" s="254">
      <c r="A76" s="324" t="inlineStr">
        <is>
          <t>250 KCMIL</t>
        </is>
      </c>
      <c r="B76" s="354" t="n">
        <v>215</v>
      </c>
      <c r="C76" s="354" t="n">
        <v>255</v>
      </c>
      <c r="D76" s="354" t="n">
        <v>290</v>
      </c>
      <c r="E76" s="354" t="n">
        <v>170</v>
      </c>
      <c r="F76" s="354" t="n">
        <v>205</v>
      </c>
      <c r="G76" s="354" t="n">
        <v>230</v>
      </c>
    </row>
    <row r="77" ht="14.25" customHeight="1" s="254">
      <c r="A77" s="324" t="inlineStr">
        <is>
          <t>300 KCMIL</t>
        </is>
      </c>
      <c r="B77" s="354" t="n">
        <v>240</v>
      </c>
      <c r="C77" s="354" t="n">
        <v>285</v>
      </c>
      <c r="D77" s="354" t="n">
        <v>320</v>
      </c>
      <c r="E77" s="354" t="n">
        <v>195</v>
      </c>
      <c r="F77" s="354" t="n">
        <v>230</v>
      </c>
      <c r="G77" s="354" t="n">
        <v>260</v>
      </c>
    </row>
    <row r="78" ht="14.25" customHeight="1" s="254">
      <c r="A78" s="324" t="inlineStr">
        <is>
          <t>350 KCMIL</t>
        </is>
      </c>
      <c r="B78" s="354" t="n">
        <v>260</v>
      </c>
      <c r="C78" s="354" t="n">
        <v>310</v>
      </c>
      <c r="D78" s="354" t="n">
        <v>350</v>
      </c>
      <c r="E78" s="354" t="n">
        <v>210</v>
      </c>
      <c r="F78" s="354" t="n">
        <v>250</v>
      </c>
      <c r="G78" s="354" t="n">
        <v>280</v>
      </c>
    </row>
    <row r="79" ht="14.25" customHeight="1" s="254">
      <c r="A79" s="324" t="inlineStr">
        <is>
          <t>400 KCMIL</t>
        </is>
      </c>
      <c r="B79" s="354" t="n">
        <v>280</v>
      </c>
      <c r="C79" s="354" t="n">
        <v>335</v>
      </c>
      <c r="D79" s="354" t="n">
        <v>380</v>
      </c>
      <c r="E79" s="354" t="n">
        <v>225</v>
      </c>
      <c r="F79" s="354" t="n">
        <v>270</v>
      </c>
      <c r="G79" s="354" t="n">
        <v>305</v>
      </c>
    </row>
    <row r="80" ht="14.25" customHeight="1" s="254">
      <c r="A80" s="324" t="inlineStr">
        <is>
          <t>450 KCMIL</t>
        </is>
      </c>
      <c r="B80" s="469" t="n"/>
      <c r="C80" s="469" t="n"/>
      <c r="D80" s="469" t="n"/>
      <c r="E80" s="469" t="n"/>
      <c r="F80" s="469" t="n"/>
      <c r="G80" s="469" t="n"/>
    </row>
    <row r="81" ht="14.25" customHeight="1" s="254">
      <c r="A81" s="324" t="inlineStr">
        <is>
          <t>500 KCMIL</t>
        </is>
      </c>
      <c r="B81" s="354" t="n">
        <v>320</v>
      </c>
      <c r="C81" s="354" t="n">
        <v>380</v>
      </c>
      <c r="D81" s="354" t="n">
        <v>430</v>
      </c>
      <c r="E81" s="354" t="n">
        <v>260</v>
      </c>
      <c r="F81" s="354" t="n">
        <v>310</v>
      </c>
      <c r="G81" s="354" t="n">
        <v>350</v>
      </c>
    </row>
    <row r="82" ht="14.25" customHeight="1" s="254">
      <c r="A82" s="324" t="inlineStr">
        <is>
          <t>600 KCMIL</t>
        </is>
      </c>
      <c r="B82" s="354" t="n">
        <v>350</v>
      </c>
      <c r="C82" s="354" t="n">
        <v>420</v>
      </c>
      <c r="D82" s="354" t="n">
        <v>475</v>
      </c>
      <c r="E82" s="354" t="n">
        <v>285</v>
      </c>
      <c r="F82" s="354" t="n">
        <v>340</v>
      </c>
      <c r="G82" s="354" t="n">
        <v>385</v>
      </c>
    </row>
    <row r="83" ht="14.25" customHeight="1" s="254">
      <c r="A83" s="324" t="inlineStr">
        <is>
          <t>750 KCMIL</t>
        </is>
      </c>
      <c r="B83" s="354" t="n">
        <v>400</v>
      </c>
      <c r="C83" s="354" t="n">
        <v>475</v>
      </c>
      <c r="D83" s="354" t="n">
        <v>535</v>
      </c>
      <c r="E83" s="354" t="n">
        <v>320</v>
      </c>
      <c r="F83" s="354" t="n">
        <v>385</v>
      </c>
      <c r="G83" s="354" t="n">
        <v>435</v>
      </c>
    </row>
    <row r="84" ht="14.25" customHeight="1" s="254">
      <c r="A84" s="324" t="inlineStr">
        <is>
          <t>1000 KCMIL</t>
        </is>
      </c>
      <c r="B84" s="354" t="n">
        <v>455</v>
      </c>
      <c r="C84" s="354" t="n">
        <v>545</v>
      </c>
      <c r="D84" s="354" t="n">
        <v>615</v>
      </c>
      <c r="E84" s="354" t="n">
        <v>375</v>
      </c>
      <c r="F84" s="354" t="n">
        <v>445</v>
      </c>
      <c r="G84" s="354" t="n">
        <v>500</v>
      </c>
    </row>
    <row r="85" s="254"/>
    <row r="86" s="254"/>
    <row r="87" ht="31.5" customHeight="1" s="254">
      <c r="A87" s="470" t="inlineStr">
        <is>
          <t>AMBIENT TEMPERATURE CORRECTION — NEC Table 310.15(B)(1)(1)</t>
        </is>
      </c>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row>
    <row r="89" ht="14.25" customHeight="1" s="254">
      <c r="A89" s="468" t="inlineStr">
        <is>
          <t>Up to C</t>
        </is>
      </c>
      <c r="B89" s="468" t="inlineStr">
        <is>
          <t>60</t>
        </is>
      </c>
      <c r="C89" s="468" t="inlineStr">
        <is>
          <t>75</t>
        </is>
      </c>
      <c r="D89" s="468" t="inlineStr">
        <is>
          <t>90</t>
        </is>
      </c>
    </row>
    <row r="90" ht="14.25" customHeight="1" s="254">
      <c r="A90" s="354" t="n">
        <v>10</v>
      </c>
      <c r="B90" s="471" t="n">
        <v>1.29</v>
      </c>
      <c r="C90" s="471" t="n">
        <v>1.2</v>
      </c>
      <c r="D90" s="471" t="n">
        <v>1.15</v>
      </c>
    </row>
    <row r="91" ht="14.25" customHeight="1" s="254">
      <c r="A91" s="354" t="n">
        <v>15</v>
      </c>
      <c r="B91" s="471" t="n">
        <v>1.22</v>
      </c>
      <c r="C91" s="471" t="n">
        <v>1.15</v>
      </c>
      <c r="D91" s="471" t="n">
        <v>1.12</v>
      </c>
    </row>
    <row r="92" ht="14.25" customHeight="1" s="254">
      <c r="A92" s="354" t="n">
        <v>20</v>
      </c>
      <c r="B92" s="471" t="n">
        <v>1.15</v>
      </c>
      <c r="C92" s="471" t="n">
        <v>1.11</v>
      </c>
      <c r="D92" s="471" t="n">
        <v>1.08</v>
      </c>
    </row>
    <row r="93" ht="14.25" customHeight="1" s="254">
      <c r="A93" s="354" t="n">
        <v>25</v>
      </c>
      <c r="B93" s="471" t="n">
        <v>1.08</v>
      </c>
      <c r="C93" s="471" t="n">
        <v>1.05</v>
      </c>
      <c r="D93" s="471" t="n">
        <v>1.04</v>
      </c>
    </row>
    <row r="94" ht="14.25" customHeight="1" s="254">
      <c r="A94" s="354" t="n">
        <v>30</v>
      </c>
      <c r="B94" s="471" t="n">
        <v>1</v>
      </c>
      <c r="C94" s="471" t="n">
        <v>1</v>
      </c>
      <c r="D94" s="471" t="n">
        <v>1</v>
      </c>
    </row>
    <row r="95" ht="14.25" customHeight="1" s="254">
      <c r="A95" s="354" t="n">
        <v>35</v>
      </c>
      <c r="B95" s="471" t="n">
        <v>0.91</v>
      </c>
      <c r="C95" s="471" t="n">
        <v>0.9399999999999999</v>
      </c>
      <c r="D95" s="471" t="n">
        <v>0.96</v>
      </c>
    </row>
    <row r="96" ht="14.25" customHeight="1" s="254">
      <c r="A96" s="354" t="n">
        <v>40</v>
      </c>
      <c r="B96" s="471" t="n">
        <v>0.82</v>
      </c>
      <c r="C96" s="471" t="n">
        <v>0.88</v>
      </c>
      <c r="D96" s="471" t="n">
        <v>0.91</v>
      </c>
    </row>
    <row r="97" ht="14.25" customHeight="1" s="254">
      <c r="A97" s="354" t="n">
        <v>45</v>
      </c>
      <c r="B97" s="471" t="n">
        <v>0.71</v>
      </c>
      <c r="C97" s="471" t="n">
        <v>0.82</v>
      </c>
      <c r="D97" s="471" t="n">
        <v>0.87</v>
      </c>
    </row>
    <row r="98" ht="14.25" customHeight="1" s="254">
      <c r="A98" s="354" t="n">
        <v>50</v>
      </c>
      <c r="B98" s="471" t="n">
        <v>0.58</v>
      </c>
      <c r="C98" s="471" t="n">
        <v>0.75</v>
      </c>
      <c r="D98" s="471" t="n">
        <v>0.82</v>
      </c>
    </row>
    <row r="99" ht="14.25" customHeight="1" s="254">
      <c r="A99" s="354" t="n">
        <v>55</v>
      </c>
      <c r="B99" s="471" t="n">
        <v>0.41</v>
      </c>
      <c r="C99" s="471" t="n">
        <v>0.67</v>
      </c>
      <c r="D99" s="471" t="n">
        <v>0.76</v>
      </c>
    </row>
    <row r="100" ht="14.25" customHeight="1" s="254">
      <c r="A100" s="354" t="n">
        <v>60</v>
      </c>
      <c r="B100" s="472" t="n"/>
      <c r="C100" s="471" t="n">
        <v>0.58</v>
      </c>
      <c r="D100" s="471" t="n">
        <v>0.71</v>
      </c>
    </row>
    <row r="101" ht="14.25" customHeight="1" s="254">
      <c r="A101" s="354" t="n">
        <v>65</v>
      </c>
      <c r="B101" s="472" t="n"/>
      <c r="C101" s="471" t="n">
        <v>0.47</v>
      </c>
      <c r="D101" s="471" t="n">
        <v>0.65</v>
      </c>
    </row>
    <row r="102" ht="14.25" customHeight="1" s="254">
      <c r="A102" s="354" t="n">
        <v>70</v>
      </c>
      <c r="B102" s="472" t="n"/>
      <c r="C102" s="471" t="n">
        <v>0.33</v>
      </c>
      <c r="D102" s="471" t="n">
        <v>0.58</v>
      </c>
    </row>
    <row r="103" ht="14.25" customHeight="1" s="254">
      <c r="A103" s="354" t="n">
        <v>75</v>
      </c>
      <c r="B103" s="472" t="n"/>
      <c r="C103" s="472" t="n"/>
      <c r="D103" s="471" t="n">
        <v>0.5</v>
      </c>
    </row>
    <row r="104" ht="14.25" customHeight="1" s="254">
      <c r="A104" s="354" t="n">
        <v>80</v>
      </c>
      <c r="B104" s="472" t="n"/>
      <c r="C104" s="472" t="n"/>
      <c r="D104" s="471" t="n">
        <v>0.41</v>
      </c>
    </row>
    <row r="105" s="254"/>
    <row r="106" s="254"/>
    <row r="107" ht="14.25" customHeight="1" s="254">
      <c r="A107" s="345" t="inlineStr">
        <is>
          <t>CONDUCTOR IMPEDANCE — NEC Chapter 9 Table 9</t>
        </is>
      </c>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row>
    <row r="109" ht="14.25" customHeight="1" s="254">
      <c r="A109" s="468" t="inlineStr">
        <is>
          <t>Size</t>
        </is>
      </c>
      <c r="B109" s="468" t="inlineStr">
        <is>
          <t>Cu ohm/1000ft</t>
        </is>
      </c>
      <c r="C109" s="468" t="inlineStr">
        <is>
          <t>Al ohm/1000ft</t>
        </is>
      </c>
    </row>
    <row r="110" ht="14.25" customHeight="1" s="254">
      <c r="A110" s="324" t="inlineStr">
        <is>
          <t>10 AWG</t>
        </is>
      </c>
      <c r="B110" s="663" t="n">
        <v>1.2</v>
      </c>
      <c r="C110" s="664" t="n"/>
    </row>
    <row r="111" ht="14.25" customHeight="1" s="254">
      <c r="A111" s="324" t="inlineStr">
        <is>
          <t>8 AWG</t>
        </is>
      </c>
      <c r="B111" s="663" t="n">
        <v>0.78</v>
      </c>
      <c r="C111" s="664" t="n"/>
    </row>
    <row r="112" ht="14.25" customHeight="1" s="254">
      <c r="A112" s="324" t="inlineStr">
        <is>
          <t>6 AWG</t>
        </is>
      </c>
      <c r="B112" s="663" t="n">
        <v>0.49</v>
      </c>
      <c r="C112" s="663" t="n">
        <v>0.71</v>
      </c>
    </row>
    <row r="113" ht="14.25" customHeight="1" s="254">
      <c r="A113" s="324" t="inlineStr">
        <is>
          <t>4 AWG</t>
        </is>
      </c>
      <c r="B113" s="663" t="n">
        <v>0.31</v>
      </c>
      <c r="C113" s="663" t="n">
        <v>0.45</v>
      </c>
    </row>
    <row r="114" ht="14.25" customHeight="1" s="254">
      <c r="A114" s="324" t="inlineStr">
        <is>
          <t>2 AWG</t>
        </is>
      </c>
      <c r="B114" s="663" t="n">
        <v>0.19</v>
      </c>
      <c r="C114" s="663" t="n">
        <v>0.29</v>
      </c>
    </row>
    <row r="115" ht="14.25" customHeight="1" s="254">
      <c r="A115" s="324" t="inlineStr">
        <is>
          <t>1 AWG</t>
        </is>
      </c>
      <c r="B115" s="663" t="n">
        <v>0.15</v>
      </c>
      <c r="C115" s="663" t="n">
        <v>0.23</v>
      </c>
    </row>
    <row r="116" ht="14.25" customHeight="1" s="254">
      <c r="A116" s="324" t="inlineStr">
        <is>
          <t>1 /0</t>
        </is>
      </c>
      <c r="B116" s="663" t="n">
        <v>0.12</v>
      </c>
      <c r="C116" s="663" t="n">
        <v>0.19</v>
      </c>
    </row>
    <row r="117" ht="14.25" customHeight="1" s="254">
      <c r="A117" s="324" t="inlineStr">
        <is>
          <t>2 /0</t>
        </is>
      </c>
      <c r="B117" s="663" t="n">
        <v>0.1</v>
      </c>
      <c r="C117" s="663" t="n">
        <v>0.15</v>
      </c>
    </row>
    <row r="118" ht="14.25" customHeight="1" s="254">
      <c r="A118" s="324" t="inlineStr">
        <is>
          <t>3 /0</t>
        </is>
      </c>
      <c r="B118" s="663" t="n">
        <v>0.077</v>
      </c>
      <c r="C118" s="663" t="n">
        <v>0.12</v>
      </c>
    </row>
    <row r="119" ht="14.25" customHeight="1" s="254">
      <c r="A119" s="324" t="inlineStr">
        <is>
          <t>4 /0</t>
        </is>
      </c>
      <c r="B119" s="663" t="n">
        <v>0.062</v>
      </c>
      <c r="C119" s="663" t="n">
        <v>0.1</v>
      </c>
    </row>
    <row r="120" ht="14.25" customHeight="1" s="254">
      <c r="A120" s="324" t="inlineStr">
        <is>
          <t>250 KCMIL</t>
        </is>
      </c>
      <c r="B120" s="663" t="n">
        <v>0.052</v>
      </c>
      <c r="C120" s="663" t="n">
        <v>0.08500000000000001</v>
      </c>
    </row>
    <row r="121" ht="14.25" customHeight="1" s="254">
      <c r="A121" s="324" t="inlineStr">
        <is>
          <t>300 KCMIL</t>
        </is>
      </c>
      <c r="B121" s="663" t="n">
        <v>0.044</v>
      </c>
      <c r="C121" s="663" t="n">
        <v>0.07099999999999999</v>
      </c>
    </row>
    <row r="122" ht="14.25" customHeight="1" s="254">
      <c r="A122" s="324" t="inlineStr">
        <is>
          <t>350 KCMIL</t>
        </is>
      </c>
      <c r="B122" s="663" t="n">
        <v>0.038</v>
      </c>
      <c r="C122" s="663" t="n">
        <v>0.061</v>
      </c>
    </row>
    <row r="123" ht="14.25" customHeight="1" s="254">
      <c r="A123" s="324" t="inlineStr">
        <is>
          <t>400 KCMIL</t>
        </is>
      </c>
      <c r="B123" s="663" t="n">
        <v>0.033</v>
      </c>
      <c r="C123" s="663" t="n">
        <v>0.054</v>
      </c>
    </row>
    <row r="124" ht="14.25" customHeight="1" s="254">
      <c r="A124" s="324" t="inlineStr">
        <is>
          <t>450 KCMIL</t>
        </is>
      </c>
      <c r="B124" s="664" t="n"/>
      <c r="C124" s="664" t="n"/>
    </row>
    <row r="125" ht="14.25" customHeight="1" s="254">
      <c r="A125" s="324" t="inlineStr">
        <is>
          <t>500 KCMIL</t>
        </is>
      </c>
      <c r="B125" s="663" t="n">
        <v>0.027</v>
      </c>
      <c r="C125" s="663" t="n">
        <v>0.043</v>
      </c>
    </row>
    <row r="126" ht="14.25" customHeight="1" s="254">
      <c r="A126" s="324" t="inlineStr">
        <is>
          <t>600 KCMIL</t>
        </is>
      </c>
      <c r="B126" s="663" t="n">
        <v>0.023</v>
      </c>
      <c r="C126" s="663" t="n">
        <v>0.036</v>
      </c>
    </row>
    <row r="127" ht="14.25" customHeight="1" s="254">
      <c r="A127" s="324" t="inlineStr">
        <is>
          <t>750 KCMIL</t>
        </is>
      </c>
      <c r="B127" s="663" t="n">
        <v>0.019</v>
      </c>
      <c r="C127" s="663" t="n">
        <v>0.029</v>
      </c>
    </row>
    <row r="128" ht="14.25" customHeight="1" s="254">
      <c r="A128" s="324" t="inlineStr">
        <is>
          <t>1000 KCMIL</t>
        </is>
      </c>
      <c r="B128" s="663" t="n">
        <v>0.015</v>
      </c>
      <c r="C128" s="663" t="n">
        <v>0.023</v>
      </c>
    </row>
    <row r="129" s="254"/>
    <row r="130" s="254"/>
    <row r="131" ht="14.25" customHeight="1" s="254">
      <c r="A131" s="345" t="inlineStr">
        <is>
          <t>STANDARD OVERCURRENT DEVICE RATINGS — NEC 240.6(A)</t>
        </is>
      </c>
    </row>
    <row r="132" ht="14.25" customHeight="1" s="254">
      <c r="A132" s="354" t="n">
        <v>15</v>
      </c>
    </row>
    <row r="133" ht="14.25" customHeight="1" s="254">
      <c r="A133" s="354" t="n">
        <v>20</v>
      </c>
    </row>
    <row r="134" ht="14.25" customHeight="1" s="254">
      <c r="A134" s="354" t="n">
        <v>25</v>
      </c>
    </row>
    <row r="135" ht="14.25" customHeight="1" s="254">
      <c r="A135" s="354" t="n">
        <v>30</v>
      </c>
    </row>
    <row r="136" ht="14.25" customHeight="1" s="254">
      <c r="A136" s="354" t="n">
        <v>35</v>
      </c>
    </row>
    <row r="137" ht="14.25" customHeight="1" s="254">
      <c r="A137" s="354" t="n">
        <v>40</v>
      </c>
    </row>
    <row r="138" ht="14.25" customHeight="1" s="254">
      <c r="A138" s="354" t="n">
        <v>45</v>
      </c>
    </row>
    <row r="139" ht="14.25" customHeight="1" s="254">
      <c r="A139" s="354" t="n">
        <v>50</v>
      </c>
    </row>
    <row r="140" ht="14.25" customHeight="1" s="254">
      <c r="A140" s="354" t="n">
        <v>60</v>
      </c>
    </row>
    <row r="141" ht="14.25" customHeight="1" s="254">
      <c r="A141" s="354" t="n">
        <v>70</v>
      </c>
    </row>
    <row r="142" ht="14.25" customHeight="1" s="254">
      <c r="A142" s="354" t="n">
        <v>80</v>
      </c>
    </row>
    <row r="143" ht="14.25" customHeight="1" s="254">
      <c r="A143" s="354" t="n">
        <v>90</v>
      </c>
    </row>
    <row r="144" ht="14.25" customHeight="1" s="254">
      <c r="A144" s="354" t="n">
        <v>100</v>
      </c>
    </row>
    <row r="145" ht="14.25" customHeight="1" s="254">
      <c r="A145" s="354" t="n">
        <v>110</v>
      </c>
    </row>
    <row r="146" ht="14.25" customHeight="1" s="254">
      <c r="A146" s="354" t="n">
        <v>125</v>
      </c>
    </row>
    <row r="147" ht="14.25" customHeight="1" s="254">
      <c r="A147" s="354" t="n">
        <v>150</v>
      </c>
    </row>
    <row r="148" ht="14.25" customHeight="1" s="254">
      <c r="A148" s="354" t="n">
        <v>175</v>
      </c>
    </row>
    <row r="149" ht="14.25" customHeight="1" s="254">
      <c r="A149" s="354" t="n">
        <v>200</v>
      </c>
    </row>
    <row r="150" ht="14.25" customHeight="1" s="254">
      <c r="A150" s="354" t="n">
        <v>225</v>
      </c>
    </row>
    <row r="151" ht="14.25" customHeight="1" s="254">
      <c r="A151" s="354" t="n">
        <v>250</v>
      </c>
    </row>
    <row r="152" ht="14.25" customHeight="1" s="254">
      <c r="A152" s="354" t="n">
        <v>300</v>
      </c>
    </row>
    <row r="153" ht="14.25" customHeight="1" s="254">
      <c r="A153" s="354" t="n">
        <v>350</v>
      </c>
    </row>
    <row r="154" ht="14.25" customHeight="1" s="254">
      <c r="A154" s="354" t="n">
        <v>400</v>
      </c>
    </row>
    <row r="155" ht="14.25" customHeight="1" s="254">
      <c r="A155" s="354" t="n">
        <v>450</v>
      </c>
    </row>
    <row r="156" ht="14.25" customHeight="1" s="254">
      <c r="A156" s="354" t="n">
        <v>500</v>
      </c>
    </row>
    <row r="157" ht="14.25" customHeight="1" s="254">
      <c r="A157" s="354" t="n">
        <v>600</v>
      </c>
    </row>
    <row r="158" ht="14.25" customHeight="1" s="254">
      <c r="A158" s="354" t="n">
        <v>700</v>
      </c>
    </row>
    <row r="159" ht="14.25" customHeight="1" s="254">
      <c r="A159" s="354" t="n">
        <v>800</v>
      </c>
    </row>
    <row r="160" ht="14.25" customHeight="1" s="254">
      <c r="A160" s="354" t="n">
        <v>1000</v>
      </c>
    </row>
    <row r="161" ht="14.25" customHeight="1" s="254">
      <c r="A161" s="354" t="n">
        <v>1200</v>
      </c>
    </row>
    <row r="162" ht="14.25" customHeight="1" s="254">
      <c r="A162" s="354" t="n">
        <v>1600</v>
      </c>
    </row>
    <row r="163" ht="14.25" customHeight="1" s="254">
      <c r="A163" s="354" t="n">
        <v>2000</v>
      </c>
    </row>
    <row r="164" ht="14.25" customHeight="1" s="254">
      <c r="A164" s="354" t="n">
        <v>2500</v>
      </c>
    </row>
    <row r="165" ht="14.25" customHeight="1" s="254">
      <c r="A165" s="354" t="n">
        <v>3000</v>
      </c>
    </row>
    <row r="166" ht="14.25" customHeight="1" s="254">
      <c r="A166" s="354" t="n">
        <v>4000</v>
      </c>
    </row>
    <row r="167" ht="14.25" customHeight="1" s="254">
      <c r="A167" s="354" t="n">
        <v>5000</v>
      </c>
    </row>
    <row r="168" ht="14.25" customHeight="1" s="254">
      <c r="A168" s="354" t="n">
        <v>6000</v>
      </c>
    </row>
    <row r="169" s="254"/>
    <row r="170" ht="14.25" customHeight="1" s="254">
      <c r="A170" s="257" t="inlineStr">
        <is>
          <t>MARKET BENCHMARKS — DC fast charging by state</t>
        </is>
      </c>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358" t="inlineStr">
        <is>
          <t>Port utilisation</t>
        </is>
      </c>
      <c r="C172" s="358" t="inlineStr">
        <is>
          <t>Price to driver $/kWh</t>
        </is>
      </c>
    </row>
    <row r="173" ht="14.25" customHeight="1" s="254">
      <c r="A173" s="276" t="inlineStr">
        <is>
          <t>United States (average)</t>
        </is>
      </c>
      <c r="B173" s="940" t="n">
        <v>0.1576</v>
      </c>
      <c r="C173" s="941" t="n">
        <v>0.538</v>
      </c>
    </row>
    <row r="174" ht="14.25" customHeight="1" s="254">
      <c r="A174" s="276" t="inlineStr">
        <is>
          <t>California</t>
        </is>
      </c>
      <c r="B174" s="940" t="n">
        <v>0.231</v>
      </c>
      <c r="C174" s="941" t="n">
        <v>0.606</v>
      </c>
    </row>
    <row r="175" ht="14.25" customHeight="1" s="254">
      <c r="A175" s="276" t="inlineStr">
        <is>
          <t>District of Columbia</t>
        </is>
      </c>
      <c r="B175" s="940" t="n">
        <v>0.297</v>
      </c>
      <c r="C175" s="477" t="n"/>
    </row>
    <row r="176" ht="14.25" customHeight="1" s="254">
      <c r="A176" s="276" t="inlineStr">
        <is>
          <t>Hawaii</t>
        </is>
      </c>
      <c r="B176" s="940" t="n">
        <v>0.287</v>
      </c>
      <c r="C176" s="941" t="n">
        <v>0.856</v>
      </c>
    </row>
    <row r="177" ht="14.25" customHeight="1" s="254">
      <c r="A177" s="276" t="inlineStr">
        <is>
          <t>Florida</t>
        </is>
      </c>
      <c r="B177" s="940" t="n">
        <v>0.201</v>
      </c>
      <c r="C177" s="477" t="n"/>
    </row>
    <row r="178" ht="14.25" customHeight="1" s="254">
      <c r="A178" s="276" t="inlineStr">
        <is>
          <t>Alaska</t>
        </is>
      </c>
      <c r="B178" s="940" t="n">
        <v>0.02</v>
      </c>
      <c r="C178" s="477" t="n"/>
    </row>
    <row r="179" ht="14.25" customHeight="1" s="254">
      <c r="A179" s="276" t="inlineStr">
        <is>
          <t>Nebraska</t>
        </is>
      </c>
      <c r="B179" s="478" t="n"/>
      <c r="C179" s="941" t="n">
        <v>0.428</v>
      </c>
    </row>
    <row r="180" s="254"/>
    <row r="181" ht="14.25" customHeight="1" s="254">
      <c r="A181" s="257" t="inlineStr">
        <is>
          <t>NEC 250.122 — EQUIPMENT GROUND BY OCPD</t>
        </is>
      </c>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358" t="inlineStr">
        <is>
          <t>Copper</t>
        </is>
      </c>
      <c r="C183" s="358" t="inlineStr">
        <is>
          <t>Aluminium</t>
        </is>
      </c>
    </row>
    <row r="184" ht="14.25" customHeight="1" s="254">
      <c r="A184" s="444" t="n">
        <v>15</v>
      </c>
      <c r="B184" s="276" t="inlineStr">
        <is>
          <t>14 AWG</t>
        </is>
      </c>
      <c r="C184" s="276" t="inlineStr">
        <is>
          <t>12 AWG</t>
        </is>
      </c>
    </row>
    <row r="185" ht="14.25" customHeight="1" s="254">
      <c r="A185" s="444" t="n">
        <v>20</v>
      </c>
      <c r="B185" s="276" t="inlineStr">
        <is>
          <t>12 AWG</t>
        </is>
      </c>
      <c r="C185" s="276" t="inlineStr">
        <is>
          <t>10 AWG</t>
        </is>
      </c>
    </row>
    <row r="186" ht="14.25" customHeight="1" s="254">
      <c r="A186" s="444" t="n">
        <v>60</v>
      </c>
      <c r="B186" s="276" t="inlineStr">
        <is>
          <t>10 AWG</t>
        </is>
      </c>
      <c r="C186" s="276" t="inlineStr">
        <is>
          <t>8 AWG</t>
        </is>
      </c>
    </row>
    <row r="187" ht="14.25" customHeight="1" s="254">
      <c r="A187" s="444" t="n">
        <v>100</v>
      </c>
      <c r="B187" s="276" t="inlineStr">
        <is>
          <t>8 AWG</t>
        </is>
      </c>
      <c r="C187" s="276" t="inlineStr">
        <is>
          <t>6 AWG</t>
        </is>
      </c>
    </row>
    <row r="188" ht="14.25" customHeight="1" s="254">
      <c r="A188" s="444" t="n">
        <v>200</v>
      </c>
      <c r="B188" s="276" t="inlineStr">
        <is>
          <t>6 AWG</t>
        </is>
      </c>
      <c r="C188" s="276" t="inlineStr">
        <is>
          <t>4 AWG</t>
        </is>
      </c>
    </row>
    <row r="189" ht="14.25" customHeight="1" s="254">
      <c r="A189" s="444" t="n">
        <v>300</v>
      </c>
      <c r="B189" s="276" t="inlineStr">
        <is>
          <t>4 AWG</t>
        </is>
      </c>
      <c r="C189" s="276" t="inlineStr">
        <is>
          <t>2 AWG</t>
        </is>
      </c>
    </row>
    <row r="190" ht="14.25" customHeight="1" s="254">
      <c r="A190" s="444" t="n">
        <v>400</v>
      </c>
      <c r="B190" s="276" t="inlineStr">
        <is>
          <t>3 AWG</t>
        </is>
      </c>
      <c r="C190" s="276" t="inlineStr">
        <is>
          <t>1 AWG</t>
        </is>
      </c>
    </row>
    <row r="191" ht="14.25" customHeight="1" s="254">
      <c r="A191" s="444" t="n">
        <v>500</v>
      </c>
      <c r="B191" s="276" t="inlineStr">
        <is>
          <t>2 AWG</t>
        </is>
      </c>
      <c r="C191" s="276" t="inlineStr">
        <is>
          <t>1 /0</t>
        </is>
      </c>
    </row>
    <row r="192" ht="14.25" customHeight="1" s="254">
      <c r="A192" s="444" t="n">
        <v>600</v>
      </c>
      <c r="B192" s="276" t="inlineStr">
        <is>
          <t>1 AWG</t>
        </is>
      </c>
      <c r="C192" s="276" t="inlineStr">
        <is>
          <t>2 /0</t>
        </is>
      </c>
    </row>
    <row r="193" ht="14.25" customHeight="1" s="254">
      <c r="A193" s="444" t="n">
        <v>800</v>
      </c>
      <c r="B193" s="276" t="inlineStr">
        <is>
          <t>1 /0</t>
        </is>
      </c>
      <c r="C193" s="276" t="inlineStr">
        <is>
          <t>3 /0</t>
        </is>
      </c>
    </row>
    <row r="194" ht="14.25" customHeight="1" s="254">
      <c r="A194" s="444" t="n">
        <v>1000</v>
      </c>
      <c r="B194" s="276" t="inlineStr">
        <is>
          <t>2 /0</t>
        </is>
      </c>
      <c r="C194" s="276" t="inlineStr">
        <is>
          <t>4 /0</t>
        </is>
      </c>
    </row>
    <row r="195" ht="14.25" customHeight="1" s="254">
      <c r="A195" s="444" t="n">
        <v>1200</v>
      </c>
      <c r="B195" s="276" t="inlineStr">
        <is>
          <t>3 /0</t>
        </is>
      </c>
      <c r="C195" s="276" t="inlineStr">
        <is>
          <t>250 KCMIL</t>
        </is>
      </c>
    </row>
    <row r="196" ht="14.25" customHeight="1" s="254">
      <c r="A196" s="444" t="n">
        <v>1600</v>
      </c>
      <c r="B196" s="276" t="inlineStr">
        <is>
          <t>4 /0</t>
        </is>
      </c>
      <c r="C196" s="276" t="inlineStr">
        <is>
          <t>350 KCMIL</t>
        </is>
      </c>
    </row>
    <row r="197" ht="14.25" customHeight="1" s="254">
      <c r="A197" s="444" t="n">
        <v>2000</v>
      </c>
      <c r="B197" s="276" t="inlineStr">
        <is>
          <t>250 KCMIL</t>
        </is>
      </c>
      <c r="C197" s="276" t="inlineStr">
        <is>
          <t>400 KCMIL</t>
        </is>
      </c>
    </row>
    <row r="198" ht="14.25" customHeight="1" s="254">
      <c r="A198" s="444" t="n">
        <v>2500</v>
      </c>
      <c r="B198" s="276" t="inlineStr">
        <is>
          <t>350 KCMIL</t>
        </is>
      </c>
      <c r="C198" s="276" t="inlineStr">
        <is>
          <t>600 KCMIL</t>
        </is>
      </c>
    </row>
    <row r="199" ht="14.25" customHeight="1" s="254">
      <c r="A199" s="444" t="n">
        <v>3000</v>
      </c>
      <c r="B199" s="276" t="inlineStr">
        <is>
          <t>400 KCMIL</t>
        </is>
      </c>
      <c r="C199" s="276" t="inlineStr">
        <is>
          <t>600 KCMIL</t>
        </is>
      </c>
    </row>
    <row r="200" ht="14.25" customHeight="1" s="254">
      <c r="A200" s="444" t="n">
        <v>4000</v>
      </c>
      <c r="B200" s="276" t="inlineStr">
        <is>
          <t>500 KCMIL</t>
        </is>
      </c>
      <c r="C200" s="276" t="inlineStr">
        <is>
          <t>750 KCMIL</t>
        </is>
      </c>
    </row>
    <row r="201" s="254"/>
    <row r="202">
      <c r="A202" s="257" t="inlineStr">
        <is>
          <t>MARKET BENCHMARKS — Level 2 by state</t>
        </is>
      </c>
    </row>
    <row r="203" s="254">
      <c r="A203" s="701"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row>
    <row r="204">
      <c r="A204" s="358" t="inlineStr">
        <is>
          <t>State</t>
        </is>
      </c>
      <c r="B204" s="358" t="inlineStr">
        <is>
          <t>kWh per port per day</t>
        </is>
      </c>
      <c r="C204" s="358" t="inlineStr">
        <is>
          <t>Price to driver $/kWh</t>
        </is>
      </c>
      <c r="D204" s="358" t="inlineStr">
        <is>
          <t>Basis</t>
        </is>
      </c>
    </row>
    <row r="205" ht="76.60000000000001" customHeight="1" s="254">
      <c r="A205" s="276" t="inlineStr">
        <is>
          <t>United States (average)</t>
        </is>
      </c>
      <c r="B205" s="702" t="n">
        <v>6.98</v>
      </c>
      <c r="C205" s="707" t="n">
        <v>0.31</v>
      </c>
      <c r="D205" s="704" t="inlineStr">
        <is>
          <t>ENERGY STAR / Argonne AFLEET; price is the midpoint of the 2026 public band</t>
        </is>
      </c>
    </row>
    <row r="206" ht="91.12" customHeight="1" s="254">
      <c r="A206" s="276" t="inlineStr">
        <is>
          <t>California</t>
        </is>
      </c>
      <c r="B206" s="702" t="n">
        <v>6.98</v>
      </c>
      <c r="C206" s="707" t="n">
        <v>0.4</v>
      </c>
      <c r="D206" s="704" t="inlineStr">
        <is>
          <t>US figure applied — no state series published; price at the top of the 2026 band</t>
        </is>
      </c>
    </row>
    <row r="207" s="254"/>
    <row r="208">
      <c r="A208" s="257" t="inlineStr">
        <is>
          <t>CONDUIT BY CONDUCTOR — one set, Schedule 40 PVC at 40% fill</t>
        </is>
      </c>
    </row>
    <row r="209" s="254">
      <c r="A209" s="701"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c r="A210" s="358" t="inlineStr">
        <is>
          <t>Conductor</t>
        </is>
      </c>
      <c r="B210" s="358" t="inlineStr">
        <is>
          <t>3 + ground</t>
        </is>
      </c>
      <c r="C210" s="358" t="inlineStr">
        <is>
          <t>2 + ground</t>
        </is>
      </c>
    </row>
    <row r="211">
      <c r="A211" s="276" t="inlineStr">
        <is>
          <t>10 AWG</t>
        </is>
      </c>
      <c r="B211" s="276" t="inlineStr">
        <is>
          <t>(3/4")</t>
        </is>
      </c>
      <c r="C211" s="276" t="inlineStr">
        <is>
          <t>(1/2")</t>
        </is>
      </c>
    </row>
    <row r="212">
      <c r="A212" s="276" t="inlineStr">
        <is>
          <t>8 AWG</t>
        </is>
      </c>
      <c r="B212" s="276" t="inlineStr">
        <is>
          <t>(3/4")</t>
        </is>
      </c>
      <c r="C212" s="276" t="inlineStr">
        <is>
          <t>(3/4")</t>
        </is>
      </c>
    </row>
    <row r="213">
      <c r="A213" s="276" t="inlineStr">
        <is>
          <t>6 AWG</t>
        </is>
      </c>
      <c r="B213" s="276" t="inlineStr">
        <is>
          <t>(1")</t>
        </is>
      </c>
      <c r="C213" s="276" t="inlineStr">
        <is>
          <t>(3/4")</t>
        </is>
      </c>
    </row>
    <row r="214">
      <c r="A214" s="276" t="inlineStr">
        <is>
          <t>4 AWG</t>
        </is>
      </c>
      <c r="B214" s="276" t="inlineStr">
        <is>
          <t>(1 1/4")</t>
        </is>
      </c>
      <c r="C214" s="276" t="inlineStr">
        <is>
          <t>(1")</t>
        </is>
      </c>
    </row>
    <row r="215">
      <c r="A215" s="276" t="inlineStr">
        <is>
          <t>2 AWG</t>
        </is>
      </c>
      <c r="B215" s="276" t="inlineStr">
        <is>
          <t>(1 1/4")</t>
        </is>
      </c>
      <c r="C215" s="276" t="inlineStr">
        <is>
          <t>(1")</t>
        </is>
      </c>
    </row>
    <row r="216">
      <c r="A216" s="276" t="inlineStr">
        <is>
          <t>1 AWG</t>
        </is>
      </c>
      <c r="B216" s="276" t="inlineStr">
        <is>
          <t>(1 1/2")</t>
        </is>
      </c>
      <c r="C216" s="276" t="inlineStr">
        <is>
          <t>(1 1/4")</t>
        </is>
      </c>
    </row>
    <row r="217">
      <c r="A217" s="276" t="inlineStr">
        <is>
          <t>1 /0</t>
        </is>
      </c>
      <c r="B217" s="276" t="inlineStr">
        <is>
          <t>(1 1/2")</t>
        </is>
      </c>
      <c r="C217" s="276" t="inlineStr">
        <is>
          <t>(1 1/4")</t>
        </is>
      </c>
    </row>
    <row r="218">
      <c r="A218" s="276" t="inlineStr">
        <is>
          <t>2 /0</t>
        </is>
      </c>
      <c r="B218" s="276" t="inlineStr">
        <is>
          <t>(2")</t>
        </is>
      </c>
      <c r="C218" s="276" t="inlineStr">
        <is>
          <t>(1 1/2")</t>
        </is>
      </c>
    </row>
    <row r="219">
      <c r="A219" s="276" t="inlineStr">
        <is>
          <t>3 /0</t>
        </is>
      </c>
      <c r="B219" s="276" t="inlineStr">
        <is>
          <t>(2")</t>
        </is>
      </c>
      <c r="C219" s="276" t="inlineStr">
        <is>
          <t>(1 1/2")</t>
        </is>
      </c>
    </row>
    <row r="220">
      <c r="A220" s="276" t="inlineStr">
        <is>
          <t>4 /0</t>
        </is>
      </c>
      <c r="B220" s="276" t="inlineStr">
        <is>
          <t>(2 1/2")</t>
        </is>
      </c>
      <c r="C220" s="276" t="inlineStr">
        <is>
          <t>(2")</t>
        </is>
      </c>
    </row>
    <row r="221">
      <c r="A221" s="276" t="inlineStr">
        <is>
          <t>250 KCMIL</t>
        </is>
      </c>
      <c r="B221" s="276" t="inlineStr">
        <is>
          <t>(2 1/2")</t>
        </is>
      </c>
      <c r="C221" s="276" t="inlineStr">
        <is>
          <t>(2")</t>
        </is>
      </c>
    </row>
    <row r="222">
      <c r="A222" s="276" t="inlineStr">
        <is>
          <t>300 KCMIL</t>
        </is>
      </c>
      <c r="B222" s="276" t="inlineStr">
        <is>
          <t xml:space="preserve">(3") </t>
        </is>
      </c>
      <c r="C222" s="276" t="inlineStr">
        <is>
          <t>(2 1/2")</t>
        </is>
      </c>
    </row>
    <row r="223">
      <c r="A223" s="276" t="inlineStr">
        <is>
          <t>350 KCMIL</t>
        </is>
      </c>
      <c r="B223" s="276" t="inlineStr">
        <is>
          <t xml:space="preserve">(3") </t>
        </is>
      </c>
      <c r="C223" s="276" t="inlineStr">
        <is>
          <t>(2 1/2")</t>
        </is>
      </c>
    </row>
    <row r="224">
      <c r="A224" s="276" t="inlineStr">
        <is>
          <t>400 KCMIL</t>
        </is>
      </c>
      <c r="B224" s="276" t="inlineStr">
        <is>
          <t xml:space="preserve">(3") </t>
        </is>
      </c>
      <c r="C224" s="276" t="inlineStr">
        <is>
          <t>(2 1/2")</t>
        </is>
      </c>
    </row>
    <row r="225">
      <c r="A225" s="276" t="inlineStr">
        <is>
          <t>500 KCMIL</t>
        </is>
      </c>
      <c r="B225" s="276" t="inlineStr">
        <is>
          <t>(3  1/2")</t>
        </is>
      </c>
      <c r="C225" s="276" t="inlineStr">
        <is>
          <t xml:space="preserve">(3") </t>
        </is>
      </c>
    </row>
    <row r="226">
      <c r="A226" s="276" t="inlineStr">
        <is>
          <t>600 KCMIL</t>
        </is>
      </c>
      <c r="B226" s="276" t="inlineStr">
        <is>
          <t>(4")</t>
        </is>
      </c>
      <c r="C226" s="276" t="inlineStr">
        <is>
          <t xml:space="preserve">(3") </t>
        </is>
      </c>
    </row>
    <row r="227">
      <c r="A227" s="276" t="inlineStr">
        <is>
          <t>750 KCMIL</t>
        </is>
      </c>
      <c r="B227" s="276" t="inlineStr">
        <is>
          <t>(4")</t>
        </is>
      </c>
      <c r="C227" s="276" t="inlineStr">
        <is>
          <t>(3  1/2")</t>
        </is>
      </c>
    </row>
    <row r="228">
      <c r="A228" s="276" t="inlineStr">
        <is>
          <t>1000 KCMIL</t>
        </is>
      </c>
      <c r="B228" s="276" t="inlineStr">
        <is>
          <t>(5")</t>
        </is>
      </c>
      <c r="C228" s="276" t="inlineStr">
        <is>
          <t>(4")</t>
        </is>
      </c>
    </row>
  </sheetData>
  <sheetProtection selectLockedCells="0" selectUnlockedCells="0" sheet="1" objects="0" insertRows="1" insertHyperlinks="1" autoFilter="1" scenarios="0" formatColumns="0" deleteColumns="1" insertColumns="1" pivotTables="1" deleteRows="1" formatCells="0" formatRows="0" sort="1"/>
  <mergeCells count="7">
    <mergeCell ref="A108:C108"/>
    <mergeCell ref="A88:D88"/>
    <mergeCell ref="A1:F1"/>
    <mergeCell ref="A171:G171"/>
    <mergeCell ref="A64:G64"/>
    <mergeCell ref="A182:G182"/>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row>
    <row r="3" s="254"/>
    <row r="4" ht="15" customHeight="1" s="254">
      <c r="A4" s="479" t="inlineStr">
        <is>
          <t>Utility</t>
        </is>
      </c>
      <c r="B4" s="479" t="inlineStr">
        <is>
          <t>Type</t>
        </is>
      </c>
      <c r="C4" s="479" t="inlineStr">
        <is>
          <t>Service territory</t>
        </is>
      </c>
      <c r="D4" s="479" t="inlineStr">
        <is>
          <t>EV rate status</t>
        </is>
      </c>
      <c r="E4" s="480" t="n"/>
      <c r="F4" s="481" t="inlineStr">
        <is>
          <t>DELIVERY UTILITY PICKER — what the Project tab offers</t>
        </is>
      </c>
      <c r="H4" s="543" t="inlineStr">
        <is>
          <t>RATE SCHEDULE PICKER — what the Revenue tab offers</t>
        </is>
      </c>
      <c r="J4" s="481" t="inlineStr">
        <is>
          <t>Utility (resolved)</t>
        </is>
      </c>
      <c r="K4" s="481" t="inlineStr">
        <is>
          <t>Type</t>
        </is>
      </c>
      <c r="L4" s="481" t="inlineStr">
        <is>
          <t>Service territory</t>
        </is>
      </c>
      <c r="M4" s="481" t="inlineStr">
        <is>
          <t>EV rate status</t>
        </is>
      </c>
      <c r="N4" s="481" t="inlineStr">
        <is>
          <t>State</t>
        </is>
      </c>
    </row>
    <row r="5" ht="19.5" customHeight="1" s="254">
      <c r="A5" s="298" t="inlineStr">
        <is>
          <t>PG&amp;E — Pacific Gas and Electric</t>
        </is>
      </c>
      <c r="B5" s="319" t="inlineStr">
        <is>
          <t>IOU</t>
        </is>
      </c>
      <c r="C5" s="356" t="inlineStr">
        <is>
          <t>Northern &amp; central CA, 47 counties</t>
        </is>
      </c>
      <c r="D5" s="482" t="inlineStr">
        <is>
          <t>EV rate: BEV-1 / BEV-2-S / BEV-2-P</t>
        </is>
      </c>
      <c r="F5" s="276" t="inlineStr">
        <is>
          <t>PG&amp;E — Pacific Gas and Electric</t>
        </is>
      </c>
      <c r="H5" s="543" t="inlineStr">
        <is>
          <t>BEV-1</t>
        </is>
      </c>
      <c r="J5" s="276" t="inlineStr">
        <is>
          <t>PG&amp;E — Pacific Gas and Electric</t>
        </is>
      </c>
      <c r="K5" s="276" t="inlineStr">
        <is>
          <t>IOU</t>
        </is>
      </c>
      <c r="L5" s="276" t="inlineStr">
        <is>
          <t>Northern &amp; central CA, 47 counties</t>
        </is>
      </c>
      <c r="M5" s="276" t="inlineStr">
        <is>
          <t>EV rate: BEV-1 / BEV-2-S / BEV-2-P</t>
        </is>
      </c>
      <c r="N5" s="276" t="inlineStr">
        <is>
          <t>California</t>
        </is>
      </c>
    </row>
    <row r="6" ht="19.5" customHeight="1" s="254">
      <c r="A6" s="298" t="inlineStr">
        <is>
          <t>SCE — Southern California Edison</t>
        </is>
      </c>
      <c r="B6" s="319" t="inlineStr">
        <is>
          <t>IOU</t>
        </is>
      </c>
      <c r="C6" s="356" t="inlineStr">
        <is>
          <t>Central &amp; southern CA, 15 counties</t>
        </is>
      </c>
      <c r="D6" s="482" t="inlineStr">
        <is>
          <t>EV rate: TOU-EV-7 / 8 / 9</t>
        </is>
      </c>
      <c r="F6" s="276" t="inlineStr">
        <is>
          <t>SCE — Southern California Edison</t>
        </is>
      </c>
      <c r="H6" s="543" t="inlineStr">
        <is>
          <t>BEV-2-S</t>
        </is>
      </c>
      <c r="J6" s="276" t="inlineStr">
        <is>
          <t>SCE — Southern California Edison</t>
        </is>
      </c>
      <c r="K6" s="276" t="inlineStr">
        <is>
          <t>IOU</t>
        </is>
      </c>
      <c r="L6" s="276" t="inlineStr">
        <is>
          <t>Central &amp; southern CA, 15 counties</t>
        </is>
      </c>
      <c r="M6" s="276" t="inlineStr">
        <is>
          <t>EV rate: TOU-EV-7 / 8 / 9</t>
        </is>
      </c>
      <c r="N6" s="276" t="inlineStr">
        <is>
          <t>California</t>
        </is>
      </c>
    </row>
    <row r="7" ht="19.5" customHeight="1" s="254">
      <c r="A7" s="298" t="inlineStr">
        <is>
          <t>SDG&amp;E — San Diego Gas &amp; Electric</t>
        </is>
      </c>
      <c r="B7" s="319" t="inlineStr">
        <is>
          <t>IOU</t>
        </is>
      </c>
      <c r="C7" s="356" t="inlineStr">
        <is>
          <t>San Diego Co. + southern Orange Co.</t>
        </is>
      </c>
      <c r="D7" s="482" t="inlineStr">
        <is>
          <t>EV rate: EV-HP</t>
        </is>
      </c>
      <c r="F7" s="276" t="inlineStr">
        <is>
          <t>SDG&amp;E — San Diego Gas &amp; Electric</t>
        </is>
      </c>
      <c r="H7" s="543" t="inlineStr">
        <is>
          <t>BEV-2-P</t>
        </is>
      </c>
      <c r="J7" s="276" t="inlineStr">
        <is>
          <t>SDG&amp;E — San Diego Gas &amp; Electric</t>
        </is>
      </c>
      <c r="K7" s="276" t="inlineStr">
        <is>
          <t>IOU</t>
        </is>
      </c>
      <c r="L7" s="276" t="inlineStr">
        <is>
          <t>San Diego Co. + southern Orange Co.</t>
        </is>
      </c>
      <c r="M7" s="276" t="inlineStr">
        <is>
          <t>EV rate: EV-HP</t>
        </is>
      </c>
      <c r="N7" s="276" t="inlineStr">
        <is>
          <t>California</t>
        </is>
      </c>
    </row>
    <row r="8" ht="19.5" customHeight="1" s="254">
      <c r="A8" s="298" t="inlineStr">
        <is>
          <t>Liberty Utilities (CalPeco Electric)</t>
        </is>
      </c>
      <c r="B8" s="319" t="inlineStr">
        <is>
          <t>IOU</t>
        </is>
      </c>
      <c r="C8" s="356" t="inlineStr">
        <is>
          <t>North Lake Tahoe &amp; eastern Sierra</t>
        </is>
      </c>
      <c r="D8" s="482" t="inlineStr">
        <is>
          <t>EV rate: TOU A-1/A-2/A-3 EV</t>
        </is>
      </c>
      <c r="F8" s="276" t="inlineStr">
        <is>
          <t>Liberty Utilities (CalPeco Electric)</t>
        </is>
      </c>
      <c r="H8" s="543" t="inlineStr">
        <is>
          <t>TOU-EV-7</t>
        </is>
      </c>
      <c r="J8" s="276" t="inlineStr">
        <is>
          <t>Liberty Utilities (CalPeco Electric)</t>
        </is>
      </c>
      <c r="K8" s="276" t="inlineStr">
        <is>
          <t>IOU</t>
        </is>
      </c>
      <c r="L8" s="276" t="inlineStr">
        <is>
          <t>North Lake Tahoe &amp; eastern Sierra</t>
        </is>
      </c>
      <c r="M8" s="276" t="inlineStr">
        <is>
          <t>EV rate: TOU A-1/A-2/A-3 EV</t>
        </is>
      </c>
      <c r="N8" s="276" t="inlineStr">
        <is>
          <t>California</t>
        </is>
      </c>
    </row>
    <row r="9" ht="19.5" customHeight="1" s="254">
      <c r="A9" s="298" t="inlineStr">
        <is>
          <t>Pacific Power (PacifiCorp)</t>
        </is>
      </c>
      <c r="B9" s="319" t="inlineStr">
        <is>
          <t>IOU</t>
        </is>
      </c>
      <c r="C9" s="356" t="inlineStr">
        <is>
          <t>Siskiyou, Modoc, Shasta, Del Norte</t>
        </is>
      </c>
      <c r="D9" s="483" t="inlineStr">
        <is>
          <t>NO commercial EV rate</t>
        </is>
      </c>
      <c r="F9" s="276" t="inlineStr">
        <is>
          <t>Pacific Power (PacifiCorp)</t>
        </is>
      </c>
      <c r="H9" s="543" t="inlineStr">
        <is>
          <t>TOU-EV-8</t>
        </is>
      </c>
      <c r="J9" s="276" t="inlineStr">
        <is>
          <t>Pacific Power (PacifiCorp)</t>
        </is>
      </c>
      <c r="K9" s="276" t="inlineStr">
        <is>
          <t>IOU</t>
        </is>
      </c>
      <c r="L9" s="276" t="inlineStr">
        <is>
          <t>Siskiyou, Modoc, Shasta, Del Norte</t>
        </is>
      </c>
      <c r="M9" s="276" t="inlineStr">
        <is>
          <t>NO commercial EV rate</t>
        </is>
      </c>
      <c r="N9" s="276" t="inlineStr">
        <is>
          <t>California</t>
        </is>
      </c>
    </row>
    <row r="10" ht="27.76" customHeight="1" s="254">
      <c r="A10" s="298" t="inlineStr">
        <is>
          <t>Bear Valley Electric Service (BVES)</t>
        </is>
      </c>
      <c r="B10" s="319" t="inlineStr">
        <is>
          <t>IOU</t>
        </is>
      </c>
      <c r="C10" s="356" t="inlineStr">
        <is>
          <t>Big Bear Lake, San Bernardino Co.</t>
        </is>
      </c>
      <c r="D10" s="482" t="inlineStr">
        <is>
          <t>EV rate: TOU-EV-2 / TOU-EV-3 (max 500 kW)</t>
        </is>
      </c>
      <c r="F10" s="276" t="inlineStr">
        <is>
          <t>Bear Valley Electric Service (BVES)</t>
        </is>
      </c>
      <c r="H10" s="543" t="inlineStr">
        <is>
          <t>TOU-EV-9</t>
        </is>
      </c>
      <c r="J10" s="276" t="inlineStr">
        <is>
          <t>Bear Valley Electric Service (BVES)</t>
        </is>
      </c>
      <c r="K10" s="276" t="inlineStr">
        <is>
          <t>IOU</t>
        </is>
      </c>
      <c r="L10" s="276" t="inlineStr">
        <is>
          <t>Big Bear Lake, San Bernardino Co.</t>
        </is>
      </c>
      <c r="M10" s="276" t="inlineStr">
        <is>
          <t>EV rate: TOU-EV-2 / TOU-EV-3 (max 500 kW)</t>
        </is>
      </c>
      <c r="N10" s="276" t="inlineStr">
        <is>
          <t>California</t>
        </is>
      </c>
    </row>
    <row r="11" ht="19.5" customHeight="1" s="254">
      <c r="A11" s="298" t="inlineStr">
        <is>
          <t>LADWP — Los Angeles Dept of Water &amp; Power</t>
        </is>
      </c>
      <c r="B11" s="319" t="inlineStr">
        <is>
          <t>POU</t>
        </is>
      </c>
      <c r="C11" s="356" t="inlineStr">
        <is>
          <t>City of Los Angeles + Owens Valley</t>
        </is>
      </c>
      <c r="D11" s="482" t="inlineStr">
        <is>
          <t>EV rate: EVA1 / EVA2 / EVA3 (pilot)</t>
        </is>
      </c>
      <c r="F11" s="276" t="inlineStr">
        <is>
          <t>LADWP — Los Angeles Dept of Water &amp; Power</t>
        </is>
      </c>
      <c r="H11" s="543" t="inlineStr">
        <is>
          <t>EV-HP &gt;150kW</t>
        </is>
      </c>
      <c r="J11" s="276" t="inlineStr">
        <is>
          <t>LADWP — Los Angeles Dept of Water &amp; Power</t>
        </is>
      </c>
      <c r="K11" s="276" t="inlineStr">
        <is>
          <t>POU</t>
        </is>
      </c>
      <c r="L11" s="276" t="inlineStr">
        <is>
          <t>City of Los Angeles + Owens Valley</t>
        </is>
      </c>
      <c r="M11" s="276" t="inlineStr">
        <is>
          <t>EV rate: EVA1 / EVA2 / EVA3 (pilot)</t>
        </is>
      </c>
      <c r="N11" s="276" t="inlineStr">
        <is>
          <t>California</t>
        </is>
      </c>
    </row>
    <row r="12" ht="29.08" customHeight="1" s="254">
      <c r="A12" s="298" t="inlineStr">
        <is>
          <t>SMUD — Sacramento Municipal Utility District</t>
        </is>
      </c>
      <c r="B12" s="319" t="inlineStr">
        <is>
          <t>POU</t>
        </is>
      </c>
      <c r="C12" s="356" t="inlineStr">
        <is>
          <t>Sacramento Co. + part of Placer Co.</t>
        </is>
      </c>
      <c r="D12" s="482" t="inlineStr">
        <is>
          <t>EV rate: EV_SR subscription</t>
        </is>
      </c>
      <c r="F12" s="276" t="inlineStr">
        <is>
          <t>SMUD — Sacramento Municipal Utility District</t>
        </is>
      </c>
      <c r="H12" s="543" t="inlineStr">
        <is>
          <t>EV-HP &lt;150kW</t>
        </is>
      </c>
      <c r="J12" s="276" t="inlineStr">
        <is>
          <t>SMUD — Sacramento Municipal Utility District</t>
        </is>
      </c>
      <c r="K12" s="276" t="inlineStr">
        <is>
          <t>POU</t>
        </is>
      </c>
      <c r="L12" s="276" t="inlineStr">
        <is>
          <t>Sacramento Co. + part of Placer Co.</t>
        </is>
      </c>
      <c r="M12" s="276" t="inlineStr">
        <is>
          <t>EV rate: EV_SR subscription</t>
        </is>
      </c>
      <c r="N12" s="276" t="inlineStr">
        <is>
          <t>California</t>
        </is>
      </c>
    </row>
    <row r="13" ht="27.76" customHeight="1" s="254">
      <c r="A13" s="298" t="inlineStr">
        <is>
          <t>IID — Imperial Irrigation District</t>
        </is>
      </c>
      <c r="B13" s="319" t="inlineStr">
        <is>
          <t>POU</t>
        </is>
      </c>
      <c r="C13" s="356" t="inlineStr">
        <is>
          <t>Imperial Co. + eastern Coachella Valley</t>
        </is>
      </c>
      <c r="D13" s="483" t="inlineStr">
        <is>
          <t>NO EV rate</t>
        </is>
      </c>
      <c r="F13" s="276" t="inlineStr">
        <is>
          <t>IID — Imperial Irrigation District</t>
        </is>
      </c>
      <c r="H13" s="543" t="inlineStr">
        <is>
          <t>UMERC Cg1 — General Secondary, three-phase</t>
        </is>
      </c>
      <c r="J13" s="276" t="inlineStr">
        <is>
          <t>IID — Imperial Irrigation District</t>
        </is>
      </c>
      <c r="K13" s="276" t="inlineStr">
        <is>
          <t>POU</t>
        </is>
      </c>
      <c r="L13" s="276" t="inlineStr">
        <is>
          <t>Imperial Co. + eastern Coachella Valley</t>
        </is>
      </c>
      <c r="M13" s="276" t="inlineStr">
        <is>
          <t>NO EV rate</t>
        </is>
      </c>
      <c r="N13" s="276" t="inlineStr">
        <is>
          <t>California</t>
        </is>
      </c>
    </row>
    <row r="14" ht="19.5" customHeight="1" s="254">
      <c r="A14" s="298" t="inlineStr">
        <is>
          <t>MID — Modesto Irrigation District</t>
        </is>
      </c>
      <c r="B14" s="319" t="inlineStr">
        <is>
          <t>POU</t>
        </is>
      </c>
      <c r="C14" s="356" t="inlineStr">
        <is>
          <t>Modesto &amp; Stanislaus Co.</t>
        </is>
      </c>
      <c r="D14" s="483" t="inlineStr">
        <is>
          <t>NO commercial EV rate</t>
        </is>
      </c>
      <c r="F14" s="276" t="inlineStr">
        <is>
          <t>MID — Modesto Irrigation District</t>
        </is>
      </c>
      <c r="H14" s="543" t="inlineStr">
        <is>
          <t>UMERC Cg5 — General Secondary Time-of-Use</t>
        </is>
      </c>
      <c r="J14" s="276" t="inlineStr">
        <is>
          <t>MID — Modesto Irrigation District</t>
        </is>
      </c>
      <c r="K14" s="276" t="inlineStr">
        <is>
          <t>POU</t>
        </is>
      </c>
      <c r="L14" s="276" t="inlineStr">
        <is>
          <t>Modesto &amp; Stanislaus Co.</t>
        </is>
      </c>
      <c r="M14" s="276" t="inlineStr">
        <is>
          <t>NO commercial EV rate</t>
        </is>
      </c>
      <c r="N14" s="276" t="inlineStr">
        <is>
          <t>California</t>
        </is>
      </c>
    </row>
    <row r="15" ht="27.76" customHeight="1" s="254">
      <c r="A15" s="298" t="inlineStr">
        <is>
          <t>Anaheim Public Utilities</t>
        </is>
      </c>
      <c r="B15" s="319" t="inlineStr">
        <is>
          <t>POU</t>
        </is>
      </c>
      <c r="C15" s="356" t="inlineStr">
        <is>
          <t>City of Anaheim, Orange Co.</t>
        </is>
      </c>
      <c r="D15" s="484" t="inlineStr">
        <is>
          <t>EV rate D-EV-2 CLOSED to new customers</t>
        </is>
      </c>
      <c r="F15" s="276" t="inlineStr">
        <is>
          <t>Anaheim Public Utilities</t>
        </is>
      </c>
      <c r="H15" s="543" t="inlineStr">
        <is>
          <t>UMERC Cg3 — General Secondary Demand TOU</t>
        </is>
      </c>
      <c r="J15" s="276" t="inlineStr">
        <is>
          <t>Anaheim Public Utilities</t>
        </is>
      </c>
      <c r="K15" s="276" t="inlineStr">
        <is>
          <t>POU</t>
        </is>
      </c>
      <c r="L15" s="276" t="inlineStr">
        <is>
          <t>City of Anaheim, Orange Co.</t>
        </is>
      </c>
      <c r="M15" s="276" t="inlineStr">
        <is>
          <t>EV rate D-EV-2 CLOSED to new customers</t>
        </is>
      </c>
      <c r="N15" s="276" t="inlineStr">
        <is>
          <t>California</t>
        </is>
      </c>
    </row>
    <row r="16" ht="19.5" customHeight="1" s="254">
      <c r="A16" s="298" t="inlineStr">
        <is>
          <t>Riverside Public Utilities</t>
        </is>
      </c>
      <c r="B16" s="319" t="inlineStr">
        <is>
          <t>POU</t>
        </is>
      </c>
      <c r="C16" s="356" t="inlineStr">
        <is>
          <t>City of Riverside</t>
        </is>
      </c>
      <c r="D16" s="484" t="inlineStr">
        <is>
          <t>EV rate SMEVC capped below 150 kW</t>
        </is>
      </c>
      <c r="F16" s="276" t="inlineStr">
        <is>
          <t>Riverside Public Utilities</t>
        </is>
      </c>
      <c r="H16" s="543" t="inlineStr">
        <is>
          <t>Manual</t>
        </is>
      </c>
      <c r="J16" s="276" t="inlineStr">
        <is>
          <t>Riverside Public Utilities</t>
        </is>
      </c>
      <c r="K16" s="276" t="inlineStr">
        <is>
          <t>POU</t>
        </is>
      </c>
      <c r="L16" s="276" t="inlineStr">
        <is>
          <t>City of Riverside</t>
        </is>
      </c>
      <c r="M16" s="276" t="inlineStr">
        <is>
          <t>EV rate SMEVC capped below 150 kW</t>
        </is>
      </c>
      <c r="N16" s="276" t="inlineStr">
        <is>
          <t>California</t>
        </is>
      </c>
    </row>
    <row r="17" ht="19.5" customHeight="1" s="254">
      <c r="A17" s="298" t="inlineStr">
        <is>
          <t>TID — Turlock Irrigation District</t>
        </is>
      </c>
      <c r="B17" s="319" t="inlineStr">
        <is>
          <t>POU</t>
        </is>
      </c>
      <c r="C17" s="356" t="inlineStr">
        <is>
          <t>Turlock; Stanislaus, Merced, Tuolumne</t>
        </is>
      </c>
      <c r="D17" s="483" t="inlineStr">
        <is>
          <t>NO EV rate</t>
        </is>
      </c>
      <c r="F17" s="276" t="inlineStr">
        <is>
          <t>TID — Turlock Irrigation District</t>
        </is>
      </c>
      <c r="H17" s="276" t="inlineStr">
        <is>
          <t>REU E2 — Small Commercial (no demand)</t>
        </is>
      </c>
      <c r="J17" s="276" t="inlineStr">
        <is>
          <t>TID — Turlock Irrigation District</t>
        </is>
      </c>
      <c r="K17" s="276" t="inlineStr">
        <is>
          <t>POU</t>
        </is>
      </c>
      <c r="L17" s="276" t="inlineStr">
        <is>
          <t>Turlock; Stanislaus, Merced, Tuolumne</t>
        </is>
      </c>
      <c r="M17" s="276" t="inlineStr">
        <is>
          <t>NO EV rate</t>
        </is>
      </c>
      <c r="N17" s="276" t="inlineStr">
        <is>
          <t>California</t>
        </is>
      </c>
    </row>
    <row r="18" ht="19.5" customHeight="1" s="254">
      <c r="A18" s="298" t="inlineStr">
        <is>
          <t>Glendale Water and Power</t>
        </is>
      </c>
      <c r="B18" s="319" t="inlineStr">
        <is>
          <t>POU</t>
        </is>
      </c>
      <c r="C18" s="356" t="inlineStr">
        <is>
          <t>City of Glendale, LA Co.</t>
        </is>
      </c>
      <c r="D18" s="483" t="inlineStr">
        <is>
          <t>NO commercial EV rate</t>
        </is>
      </c>
      <c r="F18" s="276" t="inlineStr">
        <is>
          <t>Glendale Water and Power</t>
        </is>
      </c>
      <c r="H18" s="276" t="inlineStr">
        <is>
          <t>REU E7/E8 — Large Commercial (demand)</t>
        </is>
      </c>
      <c r="J18" s="276" t="inlineStr">
        <is>
          <t>Glendale Water and Power</t>
        </is>
      </c>
      <c r="K18" s="276" t="inlineStr">
        <is>
          <t>POU</t>
        </is>
      </c>
      <c r="L18" s="276" t="inlineStr">
        <is>
          <t>City of Glendale, LA Co.</t>
        </is>
      </c>
      <c r="M18" s="276" t="inlineStr">
        <is>
          <t>NO commercial EV rate</t>
        </is>
      </c>
      <c r="N18" s="276" t="inlineStr">
        <is>
          <t>California</t>
        </is>
      </c>
    </row>
    <row r="19" ht="19.5" customHeight="1" s="254">
      <c r="A19" s="298" t="inlineStr">
        <is>
          <t>Roseville Electric Utility</t>
        </is>
      </c>
      <c r="B19" s="319" t="inlineStr">
        <is>
          <t>POU</t>
        </is>
      </c>
      <c r="C19" s="356" t="inlineStr">
        <is>
          <t>City of Roseville, Placer Co.</t>
        </is>
      </c>
      <c r="D19" s="483" t="inlineStr">
        <is>
          <t>NO commercial EV rate</t>
        </is>
      </c>
      <c r="F19" s="276" t="inlineStr">
        <is>
          <t>Roseville Electric Utility</t>
        </is>
      </c>
      <c r="J19" s="276" t="inlineStr">
        <is>
          <t>Roseville Electric Utility</t>
        </is>
      </c>
      <c r="K19" s="276" t="inlineStr">
        <is>
          <t>POU</t>
        </is>
      </c>
      <c r="L19" s="276" t="inlineStr">
        <is>
          <t>City of Roseville, Placer Co.</t>
        </is>
      </c>
      <c r="M19" s="276" t="inlineStr">
        <is>
          <t>NO commercial EV rate</t>
        </is>
      </c>
      <c r="N19" s="276" t="inlineStr">
        <is>
          <t>California</t>
        </is>
      </c>
    </row>
    <row r="20" ht="19.5" customHeight="1" s="254">
      <c r="A20" s="298" t="inlineStr">
        <is>
          <t>Pasadena Water and Power</t>
        </is>
      </c>
      <c r="B20" s="319" t="inlineStr">
        <is>
          <t>POU</t>
        </is>
      </c>
      <c r="C20" s="356" t="inlineStr">
        <is>
          <t>City of Pasadena, LA Co.</t>
        </is>
      </c>
      <c r="D20" s="483" t="inlineStr">
        <is>
          <t>NO commercial EV rate</t>
        </is>
      </c>
      <c r="F20" s="276" t="inlineStr">
        <is>
          <t>Pasadena Water and Power</t>
        </is>
      </c>
      <c r="J20" s="276" t="inlineStr">
        <is>
          <t>Pasadena Water and Power</t>
        </is>
      </c>
      <c r="K20" s="276" t="inlineStr">
        <is>
          <t>POU</t>
        </is>
      </c>
      <c r="L20" s="276" t="inlineStr">
        <is>
          <t>City of Pasadena, LA Co.</t>
        </is>
      </c>
      <c r="M20" s="276" t="inlineStr">
        <is>
          <t>NO commercial EV rate</t>
        </is>
      </c>
      <c r="N20" s="276" t="inlineStr">
        <is>
          <t>California</t>
        </is>
      </c>
    </row>
    <row r="21" ht="19.5" customHeight="1" s="254">
      <c r="A21" s="298" t="inlineStr">
        <is>
          <t>Silicon Valley Power (Santa Clara)</t>
        </is>
      </c>
      <c r="B21" s="319" t="inlineStr">
        <is>
          <t>POU</t>
        </is>
      </c>
      <c r="C21" s="356" t="inlineStr">
        <is>
          <t>City of Santa Clara</t>
        </is>
      </c>
      <c r="D21" s="483" t="inlineStr">
        <is>
          <t>NO EV rate — by policy</t>
        </is>
      </c>
      <c r="F21" s="276" t="inlineStr">
        <is>
          <t>Silicon Valley Power (Santa Clara)</t>
        </is>
      </c>
      <c r="J21" s="276" t="inlineStr">
        <is>
          <t>Silicon Valley Power (Santa Clara)</t>
        </is>
      </c>
      <c r="K21" s="276" t="inlineStr">
        <is>
          <t>POU</t>
        </is>
      </c>
      <c r="L21" s="276" t="inlineStr">
        <is>
          <t>City of Santa Clara</t>
        </is>
      </c>
      <c r="M21" s="276" t="inlineStr">
        <is>
          <t>NO EV rate — by policy</t>
        </is>
      </c>
      <c r="N21" s="276" t="inlineStr">
        <is>
          <t>California</t>
        </is>
      </c>
    </row>
    <row r="22" ht="19.5" customHeight="1" s="254">
      <c r="A22" s="298" t="inlineStr">
        <is>
          <t>Burbank Water and Power</t>
        </is>
      </c>
      <c r="B22" s="319" t="inlineStr">
        <is>
          <t>POU</t>
        </is>
      </c>
      <c r="C22" s="356" t="inlineStr">
        <is>
          <t>City of Burbank, LA Co.</t>
        </is>
      </c>
      <c r="D22" s="483" t="inlineStr">
        <is>
          <t>NO commercial EV rate</t>
        </is>
      </c>
      <c r="F22" s="276" t="inlineStr">
        <is>
          <t>Burbank Water and Power</t>
        </is>
      </c>
      <c r="J22" s="276" t="inlineStr">
        <is>
          <t>Burbank Water and Power</t>
        </is>
      </c>
      <c r="K22" s="276" t="inlineStr">
        <is>
          <t>POU</t>
        </is>
      </c>
      <c r="L22" s="276" t="inlineStr">
        <is>
          <t>City of Burbank, LA Co.</t>
        </is>
      </c>
      <c r="M22" s="276" t="inlineStr">
        <is>
          <t>NO commercial EV rate</t>
        </is>
      </c>
      <c r="N22" s="276" t="inlineStr">
        <is>
          <t>California</t>
        </is>
      </c>
    </row>
    <row r="23" ht="19.5" customHeight="1" s="254">
      <c r="A23" s="298" t="inlineStr">
        <is>
          <t>Redding Electric Utility</t>
        </is>
      </c>
      <c r="B23" s="319" t="inlineStr">
        <is>
          <t>POU</t>
        </is>
      </c>
      <c r="C23" s="356" t="inlineStr">
        <is>
          <t>City of Redding, Shasta Co.</t>
        </is>
      </c>
      <c r="D23" s="484" t="inlineStr">
        <is>
          <t>Not researched</t>
        </is>
      </c>
      <c r="F23" s="276" t="inlineStr">
        <is>
          <t>Redding Electric Utility</t>
        </is>
      </c>
      <c r="J23" s="276" t="inlineStr">
        <is>
          <t>Redding Electric Utility</t>
        </is>
      </c>
      <c r="K23" s="276" t="inlineStr">
        <is>
          <t>POU</t>
        </is>
      </c>
      <c r="L23" s="276" t="inlineStr">
        <is>
          <t>City of Redding, Shasta Co.</t>
        </is>
      </c>
      <c r="M23" s="276" t="inlineStr">
        <is>
          <t>Not researched</t>
        </is>
      </c>
      <c r="N23" s="276" t="inlineStr">
        <is>
          <t>California</t>
        </is>
      </c>
    </row>
    <row r="24" ht="19.5" customHeight="1" s="254">
      <c r="A24" s="298" t="inlineStr">
        <is>
          <t>Alameda Municipal Power</t>
        </is>
      </c>
      <c r="B24" s="319" t="inlineStr">
        <is>
          <t>POU</t>
        </is>
      </c>
      <c r="C24" s="356" t="inlineStr">
        <is>
          <t>City of Alameda</t>
        </is>
      </c>
      <c r="D24" s="483" t="inlineStr">
        <is>
          <t>NO commercial EV rate</t>
        </is>
      </c>
      <c r="F24" s="276" t="inlineStr">
        <is>
          <t>Alameda Municipal Power</t>
        </is>
      </c>
      <c r="J24" s="276" t="inlineStr">
        <is>
          <t>Alameda Municipal Power</t>
        </is>
      </c>
      <c r="K24" s="276" t="inlineStr">
        <is>
          <t>POU</t>
        </is>
      </c>
      <c r="L24" s="276" t="inlineStr">
        <is>
          <t>City of Alameda</t>
        </is>
      </c>
      <c r="M24" s="276" t="inlineStr">
        <is>
          <t>NO commercial EV rate</t>
        </is>
      </c>
      <c r="N24" s="276" t="inlineStr">
        <is>
          <t>California</t>
        </is>
      </c>
    </row>
    <row r="25" ht="19.5" customHeight="1" s="254">
      <c r="A25" s="298" t="inlineStr">
        <is>
          <t>City of Palo Alto Utilities</t>
        </is>
      </c>
      <c r="B25" s="319" t="inlineStr">
        <is>
          <t>POU</t>
        </is>
      </c>
      <c r="C25" s="356" t="inlineStr">
        <is>
          <t>City of Palo Alto</t>
        </is>
      </c>
      <c r="D25" s="483" t="inlineStr">
        <is>
          <t>NO commercial EV rate</t>
        </is>
      </c>
      <c r="F25" s="276" t="inlineStr">
        <is>
          <t>City of Palo Alto Utilities</t>
        </is>
      </c>
      <c r="J25" s="276" t="inlineStr">
        <is>
          <t>City of Palo Alto Utilities</t>
        </is>
      </c>
      <c r="K25" s="276" t="inlineStr">
        <is>
          <t>POU</t>
        </is>
      </c>
      <c r="L25" s="276" t="inlineStr">
        <is>
          <t>City of Palo Alto</t>
        </is>
      </c>
      <c r="M25" s="276" t="inlineStr">
        <is>
          <t>NO commercial EV rate</t>
        </is>
      </c>
      <c r="N25" s="276" t="inlineStr">
        <is>
          <t>California</t>
        </is>
      </c>
    </row>
    <row r="26" ht="19.5" customHeight="1" s="254">
      <c r="A26" s="298" t="inlineStr">
        <is>
          <t>Lodi Electric Utility</t>
        </is>
      </c>
      <c r="B26" s="319" t="inlineStr">
        <is>
          <t>POU</t>
        </is>
      </c>
      <c r="C26" s="356" t="inlineStr">
        <is>
          <t>City of Lodi, San Joaquin Co.</t>
        </is>
      </c>
      <c r="D26" s="484" t="inlineStr">
        <is>
          <t>Not researched</t>
        </is>
      </c>
      <c r="F26" s="276" t="inlineStr">
        <is>
          <t>Lodi Electric Utility</t>
        </is>
      </c>
      <c r="J26" s="276" t="inlineStr">
        <is>
          <t>Lodi Electric Utility</t>
        </is>
      </c>
      <c r="K26" s="276" t="inlineStr">
        <is>
          <t>POU</t>
        </is>
      </c>
      <c r="L26" s="276" t="inlineStr">
        <is>
          <t>City of Lodi, San Joaquin Co.</t>
        </is>
      </c>
      <c r="M26" s="276" t="inlineStr">
        <is>
          <t>Not researched</t>
        </is>
      </c>
      <c r="N26" s="276" t="inlineStr">
        <is>
          <t>California</t>
        </is>
      </c>
    </row>
    <row r="27" ht="19.5" customHeight="1" s="254">
      <c r="A27" s="298" t="inlineStr">
        <is>
          <t>Colton Public Utilities</t>
        </is>
      </c>
      <c r="B27" s="319" t="inlineStr">
        <is>
          <t>POU</t>
        </is>
      </c>
      <c r="C27" s="356" t="inlineStr">
        <is>
          <t>City of Colton, San Bernardino Co.</t>
        </is>
      </c>
      <c r="D27" s="484" t="inlineStr">
        <is>
          <t>EV rate page exists — obtain tariff</t>
        </is>
      </c>
      <c r="F27" s="276" t="inlineStr">
        <is>
          <t>Colton Public Utilities</t>
        </is>
      </c>
      <c r="J27" s="276" t="inlineStr">
        <is>
          <t>Colton Public Utilities</t>
        </is>
      </c>
      <c r="K27" s="276" t="inlineStr">
        <is>
          <t>POU</t>
        </is>
      </c>
      <c r="L27" s="276" t="inlineStr">
        <is>
          <t>City of Colton, San Bernardino Co.</t>
        </is>
      </c>
      <c r="M27" s="276" t="inlineStr">
        <is>
          <t>EV rate page exists — obtain tariff</t>
        </is>
      </c>
      <c r="N27" s="276" t="inlineStr">
        <is>
          <t>California</t>
        </is>
      </c>
    </row>
    <row r="28" ht="19.5" customHeight="1" s="254">
      <c r="A28" s="298" t="inlineStr">
        <is>
          <t>Azusa Light &amp; Water</t>
        </is>
      </c>
      <c r="B28" s="319" t="inlineStr">
        <is>
          <t>POU</t>
        </is>
      </c>
      <c r="C28" s="356" t="inlineStr">
        <is>
          <t>City of Azusa, LA Co.</t>
        </is>
      </c>
      <c r="D28" s="483" t="inlineStr">
        <is>
          <t>NO commercial EV rate</t>
        </is>
      </c>
      <c r="F28" s="276" t="inlineStr">
        <is>
          <t>Azusa Light &amp; Water</t>
        </is>
      </c>
      <c r="J28" s="276" t="inlineStr">
        <is>
          <t>Azusa Light &amp; Water</t>
        </is>
      </c>
      <c r="K28" s="276" t="inlineStr">
        <is>
          <t>POU</t>
        </is>
      </c>
      <c r="L28" s="276" t="inlineStr">
        <is>
          <t>City of Azusa, LA Co.</t>
        </is>
      </c>
      <c r="M28" s="276" t="inlineStr">
        <is>
          <t>NO commercial EV rate</t>
        </is>
      </c>
      <c r="N28" s="276" t="inlineStr">
        <is>
          <t>California</t>
        </is>
      </c>
    </row>
    <row r="29" ht="19.5" customHeight="1" s="254">
      <c r="A29" s="298" t="inlineStr">
        <is>
          <t>Lompoc Electric Division</t>
        </is>
      </c>
      <c r="B29" s="319" t="inlineStr">
        <is>
          <t>POU</t>
        </is>
      </c>
      <c r="C29" s="356" t="inlineStr">
        <is>
          <t>City of Lompoc, Santa Barbara Co.</t>
        </is>
      </c>
      <c r="D29" s="484" t="inlineStr">
        <is>
          <t>Not researched</t>
        </is>
      </c>
      <c r="F29" s="276" t="inlineStr">
        <is>
          <t>Lompoc Electric Division</t>
        </is>
      </c>
      <c r="J29" s="276" t="inlineStr">
        <is>
          <t>Lompoc Electric Division</t>
        </is>
      </c>
      <c r="K29" s="276" t="inlineStr">
        <is>
          <t>POU</t>
        </is>
      </c>
      <c r="L29" s="276" t="inlineStr">
        <is>
          <t>City of Lompoc, Santa Barbara Co.</t>
        </is>
      </c>
      <c r="M29" s="276" t="inlineStr">
        <is>
          <t>Not researched</t>
        </is>
      </c>
      <c r="N29" s="276" t="inlineStr">
        <is>
          <t>California</t>
        </is>
      </c>
    </row>
    <row r="30" ht="19.5" customHeight="1" s="254">
      <c r="A30" s="298" t="inlineStr">
        <is>
          <t>Truckee Donner PUD</t>
        </is>
      </c>
      <c r="B30" s="319" t="inlineStr">
        <is>
          <t>POU</t>
        </is>
      </c>
      <c r="C30" s="356" t="inlineStr">
        <is>
          <t>Truckee &amp; Donner, Nevada/Placer Co.</t>
        </is>
      </c>
      <c r="D30" s="484" t="inlineStr">
        <is>
          <t>Not researched</t>
        </is>
      </c>
      <c r="F30" s="276" t="inlineStr">
        <is>
          <t>Truckee Donner PUD</t>
        </is>
      </c>
      <c r="J30" s="276" t="inlineStr">
        <is>
          <t>Truckee Donner PUD</t>
        </is>
      </c>
      <c r="K30" s="276" t="inlineStr">
        <is>
          <t>POU</t>
        </is>
      </c>
      <c r="L30" s="276" t="inlineStr">
        <is>
          <t>Truckee &amp; Donner, Nevada/Placer Co.</t>
        </is>
      </c>
      <c r="M30" s="276" t="inlineStr">
        <is>
          <t>Not researched</t>
        </is>
      </c>
      <c r="N30" s="276" t="inlineStr">
        <is>
          <t>California</t>
        </is>
      </c>
    </row>
    <row r="31" ht="19.5" customHeight="1" s="254">
      <c r="A31" s="298" t="inlineStr">
        <is>
          <t>Banning Electric Utility</t>
        </is>
      </c>
      <c r="B31" s="319" t="inlineStr">
        <is>
          <t>POU</t>
        </is>
      </c>
      <c r="C31" s="356" t="inlineStr">
        <is>
          <t>City of Banning, Riverside Co.</t>
        </is>
      </c>
      <c r="D31" s="484" t="inlineStr">
        <is>
          <t>Not researched</t>
        </is>
      </c>
      <c r="F31" s="276" t="inlineStr">
        <is>
          <t>Banning Electric Utility</t>
        </is>
      </c>
      <c r="J31" s="276" t="inlineStr">
        <is>
          <t>Banning Electric Utility</t>
        </is>
      </c>
      <c r="K31" s="276" t="inlineStr">
        <is>
          <t>POU</t>
        </is>
      </c>
      <c r="L31" s="276" t="inlineStr">
        <is>
          <t>City of Banning, Riverside Co.</t>
        </is>
      </c>
      <c r="M31" s="276" t="inlineStr">
        <is>
          <t>Not researched</t>
        </is>
      </c>
      <c r="N31" s="276" t="inlineStr">
        <is>
          <t>California</t>
        </is>
      </c>
    </row>
    <row r="32" ht="19.5" customHeight="1" s="254">
      <c r="A32" s="298" t="inlineStr">
        <is>
          <t>Merced Irrigation District</t>
        </is>
      </c>
      <c r="B32" s="319" t="inlineStr">
        <is>
          <t>POU</t>
        </is>
      </c>
      <c r="C32" s="356" t="inlineStr">
        <is>
          <t>Merced County</t>
        </is>
      </c>
      <c r="D32" s="484" t="inlineStr">
        <is>
          <t>Not researched</t>
        </is>
      </c>
      <c r="F32" s="276" t="inlineStr">
        <is>
          <t>Merced Irrigation District</t>
        </is>
      </c>
      <c r="J32" s="276" t="inlineStr">
        <is>
          <t>Merced Irrigation District</t>
        </is>
      </c>
      <c r="K32" s="276" t="inlineStr">
        <is>
          <t>POU</t>
        </is>
      </c>
      <c r="L32" s="276" t="inlineStr">
        <is>
          <t>Merced County</t>
        </is>
      </c>
      <c r="M32" s="276" t="inlineStr">
        <is>
          <t>Not researched</t>
        </is>
      </c>
      <c r="N32" s="276" t="inlineStr">
        <is>
          <t>California</t>
        </is>
      </c>
    </row>
    <row r="33" ht="19.5" customHeight="1" s="254">
      <c r="A33" s="298" t="inlineStr">
        <is>
          <t>LMUD — Lassen Municipal Utility District</t>
        </is>
      </c>
      <c r="B33" s="319" t="inlineStr">
        <is>
          <t>POU</t>
        </is>
      </c>
      <c r="C33" s="356" t="inlineStr">
        <is>
          <t>Susanville &amp; Lassen Co.</t>
        </is>
      </c>
      <c r="D33" s="484" t="inlineStr">
        <is>
          <t>Not researched</t>
        </is>
      </c>
      <c r="F33" s="276" t="inlineStr">
        <is>
          <t>LMUD — Lassen Municipal Utility District</t>
        </is>
      </c>
      <c r="J33" s="276" t="inlineStr">
        <is>
          <t>LMUD — Lassen Municipal Utility District</t>
        </is>
      </c>
      <c r="K33" s="276" t="inlineStr">
        <is>
          <t>POU</t>
        </is>
      </c>
      <c r="L33" s="276" t="inlineStr">
        <is>
          <t>Susanville &amp; Lassen Co.</t>
        </is>
      </c>
      <c r="M33" s="276" t="inlineStr">
        <is>
          <t>Not researched</t>
        </is>
      </c>
      <c r="N33" s="276" t="inlineStr">
        <is>
          <t>California</t>
        </is>
      </c>
    </row>
    <row r="34" ht="19.5" customHeight="1" s="254">
      <c r="A34" s="298" t="inlineStr">
        <is>
          <t>Ukiah Electric Utility</t>
        </is>
      </c>
      <c r="B34" s="319" t="inlineStr">
        <is>
          <t>POU</t>
        </is>
      </c>
      <c r="C34" s="356" t="inlineStr">
        <is>
          <t>City of Ukiah, Mendocino Co.</t>
        </is>
      </c>
      <c r="D34" s="484" t="inlineStr">
        <is>
          <t>Not researched</t>
        </is>
      </c>
      <c r="F34" s="276" t="inlineStr">
        <is>
          <t>Ukiah Electric Utility</t>
        </is>
      </c>
      <c r="J34" s="276" t="inlineStr">
        <is>
          <t>Ukiah Electric Utility</t>
        </is>
      </c>
      <c r="K34" s="276" t="inlineStr">
        <is>
          <t>POU</t>
        </is>
      </c>
      <c r="L34" s="276" t="inlineStr">
        <is>
          <t>City of Ukiah, Mendocino Co.</t>
        </is>
      </c>
      <c r="M34" s="276" t="inlineStr">
        <is>
          <t>Not researched</t>
        </is>
      </c>
      <c r="N34" s="276" t="inlineStr">
        <is>
          <t>California</t>
        </is>
      </c>
    </row>
    <row r="35" ht="19.5" customHeight="1" s="254">
      <c r="A35" s="298" t="inlineStr">
        <is>
          <t>Trinity Public Utilities District</t>
        </is>
      </c>
      <c r="B35" s="319" t="inlineStr">
        <is>
          <t>POU</t>
        </is>
      </c>
      <c r="C35" s="356" t="inlineStr">
        <is>
          <t>Trinity County</t>
        </is>
      </c>
      <c r="D35" s="484" t="inlineStr">
        <is>
          <t>Not researched</t>
        </is>
      </c>
      <c r="F35" s="276" t="inlineStr">
        <is>
          <t>Trinity Public Utilities District</t>
        </is>
      </c>
      <c r="J35" s="276" t="inlineStr">
        <is>
          <t>Trinity Public Utilities District</t>
        </is>
      </c>
      <c r="K35" s="276" t="inlineStr">
        <is>
          <t>POU</t>
        </is>
      </c>
      <c r="L35" s="276" t="inlineStr">
        <is>
          <t>Trinity County</t>
        </is>
      </c>
      <c r="M35" s="276" t="inlineStr">
        <is>
          <t>Not researched</t>
        </is>
      </c>
      <c r="N35" s="276" t="inlineStr">
        <is>
          <t>California</t>
        </is>
      </c>
    </row>
    <row r="36" ht="19.5" customHeight="1" s="254">
      <c r="A36" s="298" t="inlineStr">
        <is>
          <t>Healdsburg Electric Department</t>
        </is>
      </c>
      <c r="B36" s="319" t="inlineStr">
        <is>
          <t>POU</t>
        </is>
      </c>
      <c r="C36" s="356" t="inlineStr">
        <is>
          <t>City of Healdsburg, Sonoma Co.</t>
        </is>
      </c>
      <c r="D36" s="484" t="inlineStr">
        <is>
          <t>Not researched</t>
        </is>
      </c>
      <c r="F36" s="276" t="inlineStr">
        <is>
          <t>Healdsburg Electric Department</t>
        </is>
      </c>
      <c r="J36" s="276" t="inlineStr">
        <is>
          <t>Healdsburg Electric Department</t>
        </is>
      </c>
      <c r="K36" s="276" t="inlineStr">
        <is>
          <t>POU</t>
        </is>
      </c>
      <c r="L36" s="276" t="inlineStr">
        <is>
          <t>City of Healdsburg, Sonoma Co.</t>
        </is>
      </c>
      <c r="M36" s="276" t="inlineStr">
        <is>
          <t>Not researched</t>
        </is>
      </c>
      <c r="N36" s="276" t="inlineStr">
        <is>
          <t>California</t>
        </is>
      </c>
    </row>
    <row r="37" ht="19.5" customHeight="1" s="254">
      <c r="A37" s="298" t="inlineStr">
        <is>
          <t>Shasta Lake Electric Utility</t>
        </is>
      </c>
      <c r="B37" s="319" t="inlineStr">
        <is>
          <t>POU</t>
        </is>
      </c>
      <c r="C37" s="356" t="inlineStr">
        <is>
          <t>City of Shasta Lake, Shasta Co.</t>
        </is>
      </c>
      <c r="D37" s="484" t="inlineStr">
        <is>
          <t>Not researched</t>
        </is>
      </c>
      <c r="F37" s="276" t="inlineStr">
        <is>
          <t>Shasta Lake Electric Utility</t>
        </is>
      </c>
      <c r="J37" s="276" t="inlineStr">
        <is>
          <t>Shasta Lake Electric Utility</t>
        </is>
      </c>
      <c r="K37" s="276" t="inlineStr">
        <is>
          <t>POU</t>
        </is>
      </c>
      <c r="L37" s="276" t="inlineStr">
        <is>
          <t>City of Shasta Lake, Shasta Co.</t>
        </is>
      </c>
      <c r="M37" s="276" t="inlineStr">
        <is>
          <t>Not researched</t>
        </is>
      </c>
      <c r="N37" s="276" t="inlineStr">
        <is>
          <t>California</t>
        </is>
      </c>
    </row>
    <row r="38" ht="27.76" customHeight="1" s="254">
      <c r="A38" s="298" t="inlineStr">
        <is>
          <t>Rancho Cucamonga Municipal Utility</t>
        </is>
      </c>
      <c r="B38" s="319" t="inlineStr">
        <is>
          <t>POU</t>
        </is>
      </c>
      <c r="C38" s="356" t="inlineStr">
        <is>
          <t>PARTIAL — newer development only; SCE serves the rest</t>
        </is>
      </c>
      <c r="D38" s="484" t="inlineStr">
        <is>
          <t>Not researched</t>
        </is>
      </c>
      <c r="F38" s="276" t="inlineStr">
        <is>
          <t>Rancho Cucamonga Municipal Utility</t>
        </is>
      </c>
      <c r="J38" s="276" t="inlineStr">
        <is>
          <t>Rancho Cucamonga Municipal Utility</t>
        </is>
      </c>
      <c r="K38" s="276" t="inlineStr">
        <is>
          <t>POU</t>
        </is>
      </c>
      <c r="L38" s="276" t="inlineStr">
        <is>
          <t>PARTIAL — newer development only; SCE serves the rest</t>
        </is>
      </c>
      <c r="M38" s="276" t="inlineStr">
        <is>
          <t>Not researched</t>
        </is>
      </c>
      <c r="N38" s="276" t="inlineStr">
        <is>
          <t>California</t>
        </is>
      </c>
    </row>
    <row r="39" ht="27.76" customHeight="1" s="254">
      <c r="A39" s="298" t="inlineStr">
        <is>
          <t>Moreno Valley Utility</t>
        </is>
      </c>
      <c r="B39" s="319" t="inlineStr">
        <is>
          <t>POU</t>
        </is>
      </c>
      <c r="C39" s="356" t="inlineStr">
        <is>
          <t>PARTIAL — post-2004 development only; SCE serves the rest</t>
        </is>
      </c>
      <c r="D39" s="484" t="inlineStr">
        <is>
          <t>Not researched</t>
        </is>
      </c>
      <c r="F39" s="276" t="inlineStr">
        <is>
          <t>Moreno Valley Utility</t>
        </is>
      </c>
      <c r="J39" s="276" t="inlineStr">
        <is>
          <t>Moreno Valley Utility</t>
        </is>
      </c>
      <c r="K39" s="276" t="inlineStr">
        <is>
          <t>POU</t>
        </is>
      </c>
      <c r="L39" s="485" t="inlineStr">
        <is>
          <t>PARTIAL — post-2004 development only; SCE serves the rest</t>
        </is>
      </c>
      <c r="M39" s="276" t="inlineStr">
        <is>
          <t>Not researched</t>
        </is>
      </c>
      <c r="N39" s="276" t="inlineStr">
        <is>
          <t>California</t>
        </is>
      </c>
    </row>
    <row r="40" ht="19.5" customHeight="1" s="254">
      <c r="A40" s="298" t="inlineStr">
        <is>
          <t>Gridley Electric Utility</t>
        </is>
      </c>
      <c r="B40" s="319" t="inlineStr">
        <is>
          <t>POU</t>
        </is>
      </c>
      <c r="C40" s="356" t="inlineStr">
        <is>
          <t>City of Gridley, Butte Co.</t>
        </is>
      </c>
      <c r="D40" s="484" t="inlineStr">
        <is>
          <t>Not researched</t>
        </is>
      </c>
      <c r="F40" s="276" t="inlineStr">
        <is>
          <t>Gridley Electric Utility</t>
        </is>
      </c>
      <c r="J40" s="276" t="inlineStr">
        <is>
          <t>Gridley Electric Utility</t>
        </is>
      </c>
      <c r="K40" s="276" t="inlineStr">
        <is>
          <t>POU</t>
        </is>
      </c>
      <c r="L40" s="276" t="inlineStr">
        <is>
          <t>City of Gridley, Butte Co.</t>
        </is>
      </c>
      <c r="M40" s="276" t="inlineStr">
        <is>
          <t>Not researched</t>
        </is>
      </c>
      <c r="N40" s="276" t="inlineStr">
        <is>
          <t>California</t>
        </is>
      </c>
    </row>
    <row r="41" ht="19.5" customHeight="1" s="254">
      <c r="A41" s="298" t="inlineStr">
        <is>
          <t>Needles Public Utility Authority</t>
        </is>
      </c>
      <c r="B41" s="319" t="inlineStr">
        <is>
          <t>POU</t>
        </is>
      </c>
      <c r="C41" s="356" t="inlineStr">
        <is>
          <t>City of Needles, San Bernardino Co.</t>
        </is>
      </c>
      <c r="D41" s="484" t="inlineStr">
        <is>
          <t>Not researched</t>
        </is>
      </c>
      <c r="F41" s="276" t="inlineStr">
        <is>
          <t>Needles Public Utility Authority</t>
        </is>
      </c>
      <c r="J41" s="276" t="inlineStr">
        <is>
          <t>Needles Public Utility Authority</t>
        </is>
      </c>
      <c r="K41" s="276" t="inlineStr">
        <is>
          <t>POU</t>
        </is>
      </c>
      <c r="L41" s="276" t="inlineStr">
        <is>
          <t>City of Needles, San Bernardino Co.</t>
        </is>
      </c>
      <c r="M41" s="276" t="inlineStr">
        <is>
          <t>Not researched</t>
        </is>
      </c>
      <c r="N41" s="276" t="inlineStr">
        <is>
          <t>California</t>
        </is>
      </c>
    </row>
    <row r="42" ht="19.5" customHeight="1" s="254">
      <c r="A42" s="298" t="inlineStr">
        <is>
          <t>Biggs Municipal Utilities</t>
        </is>
      </c>
      <c r="B42" s="319" t="inlineStr">
        <is>
          <t>POU</t>
        </is>
      </c>
      <c r="C42" s="356" t="inlineStr">
        <is>
          <t>City of Biggs, Butte Co.</t>
        </is>
      </c>
      <c r="D42" s="484" t="inlineStr">
        <is>
          <t>Not researched</t>
        </is>
      </c>
      <c r="F42" s="276" t="inlineStr">
        <is>
          <t>Biggs Municipal Utilities</t>
        </is>
      </c>
      <c r="J42" s="276" t="inlineStr">
        <is>
          <t>Biggs Municipal Utilities</t>
        </is>
      </c>
      <c r="K42" s="276" t="inlineStr">
        <is>
          <t>POU</t>
        </is>
      </c>
      <c r="L42" s="276" t="inlineStr">
        <is>
          <t>City of Biggs, Butte Co.</t>
        </is>
      </c>
      <c r="M42" s="276" t="inlineStr">
        <is>
          <t>Not researched</t>
        </is>
      </c>
      <c r="N42" s="276" t="inlineStr">
        <is>
          <t>California</t>
        </is>
      </c>
    </row>
    <row r="43" ht="27.76" customHeight="1" s="254">
      <c r="A43" s="298" t="inlineStr">
        <is>
          <t>Kirkwood Meadows PUD</t>
        </is>
      </c>
      <c r="B43" s="319" t="inlineStr">
        <is>
          <t>POU</t>
        </is>
      </c>
      <c r="C43" s="356" t="inlineStr">
        <is>
          <t>Kirkwood ski area, Alpine/Amador/El Dorado</t>
        </is>
      </c>
      <c r="D43" s="484" t="inlineStr">
        <is>
          <t>Not researched</t>
        </is>
      </c>
      <c r="F43" s="276" t="inlineStr">
        <is>
          <t>Kirkwood Meadows PUD</t>
        </is>
      </c>
      <c r="J43" s="276" t="inlineStr">
        <is>
          <t>Kirkwood Meadows PUD</t>
        </is>
      </c>
      <c r="K43" s="276" t="inlineStr">
        <is>
          <t>POU</t>
        </is>
      </c>
      <c r="L43" s="276" t="inlineStr">
        <is>
          <t>Kirkwood ski area, Alpine/Amador/El Dorado</t>
        </is>
      </c>
      <c r="M43" s="276" t="inlineStr">
        <is>
          <t>Not researched</t>
        </is>
      </c>
      <c r="N43" s="276" t="inlineStr">
        <is>
          <t>California</t>
        </is>
      </c>
    </row>
    <row r="44" ht="19.5" customHeight="1" s="254">
      <c r="A44" s="298" t="inlineStr">
        <is>
          <t>Shelter Cove Resort Improvement District</t>
        </is>
      </c>
      <c r="B44" s="319" t="inlineStr">
        <is>
          <t>POU</t>
        </is>
      </c>
      <c r="C44" s="356" t="inlineStr">
        <is>
          <t>Shelter Cove, Humboldt Co.</t>
        </is>
      </c>
      <c r="D44" s="484" t="inlineStr">
        <is>
          <t>Not researched</t>
        </is>
      </c>
      <c r="F44" s="276" t="inlineStr">
        <is>
          <t>Shelter Cove Resort Improvement District</t>
        </is>
      </c>
      <c r="J44" s="276" t="inlineStr">
        <is>
          <t>Shelter Cove Resort Improvement District</t>
        </is>
      </c>
      <c r="K44" s="276" t="inlineStr">
        <is>
          <t>POU</t>
        </is>
      </c>
      <c r="L44" s="276" t="inlineStr">
        <is>
          <t>Shelter Cove, Humboldt Co.</t>
        </is>
      </c>
      <c r="M44" s="276" t="inlineStr">
        <is>
          <t>Not researched</t>
        </is>
      </c>
      <c r="N44" s="276" t="inlineStr">
        <is>
          <t>California</t>
        </is>
      </c>
    </row>
    <row r="45" ht="27.76" customHeight="1" s="254">
      <c r="A45" s="298" t="inlineStr">
        <is>
          <t>Hetch Hetchy Power (SFPUC)</t>
        </is>
      </c>
      <c r="B45" s="319" t="inlineStr">
        <is>
          <t>POU</t>
        </is>
      </c>
      <c r="C45" s="356" t="inlineStr">
        <is>
          <t>SF municipal, SFO, Muni, new development</t>
        </is>
      </c>
      <c r="D45" s="484" t="inlineStr">
        <is>
          <t>Not researched</t>
        </is>
      </c>
      <c r="F45" s="276" t="inlineStr">
        <is>
          <t>Hetch Hetchy Power (SFPUC)</t>
        </is>
      </c>
      <c r="J45" s="276" t="inlineStr">
        <is>
          <t>Hetch Hetchy Power (SFPUC)</t>
        </is>
      </c>
      <c r="K45" s="276" t="inlineStr">
        <is>
          <t>POU</t>
        </is>
      </c>
      <c r="L45" s="276" t="inlineStr">
        <is>
          <t>SF municipal, SFO, Muni, new development</t>
        </is>
      </c>
      <c r="M45" s="276" t="inlineStr">
        <is>
          <t>Not researched</t>
        </is>
      </c>
      <c r="N45" s="276" t="inlineStr">
        <is>
          <t>California</t>
        </is>
      </c>
    </row>
    <row r="46" ht="19.5" customHeight="1" s="254">
      <c r="A46" s="298" t="inlineStr">
        <is>
          <t>City of Vernon (Vernon Public Utilities)</t>
        </is>
      </c>
      <c r="B46" s="319" t="inlineStr">
        <is>
          <t>POU</t>
        </is>
      </c>
      <c r="C46" s="356" t="inlineStr">
        <is>
          <t>Industrial city of Vernon, LA Co.</t>
        </is>
      </c>
      <c r="D46" s="484" t="inlineStr">
        <is>
          <t>Not researched</t>
        </is>
      </c>
      <c r="F46" s="276" t="inlineStr">
        <is>
          <t>City of Vernon (Vernon Public Utilities)</t>
        </is>
      </c>
      <c r="J46" s="276" t="inlineStr">
        <is>
          <t>City of Vernon (Vernon Public Utilities)</t>
        </is>
      </c>
      <c r="K46" s="276" t="inlineStr">
        <is>
          <t>POU</t>
        </is>
      </c>
      <c r="L46" s="276" t="inlineStr">
        <is>
          <t>Industrial city of Vernon, LA Co.</t>
        </is>
      </c>
      <c r="M46" s="276" t="inlineStr">
        <is>
          <t>Not researched</t>
        </is>
      </c>
      <c r="N46" s="276" t="inlineStr">
        <is>
          <t>California</t>
        </is>
      </c>
    </row>
    <row r="47" ht="27.76" customHeight="1" s="254">
      <c r="A47" s="298" t="inlineStr">
        <is>
          <t>Corona Department of Water &amp; Power</t>
        </is>
      </c>
      <c r="B47" s="319" t="inlineStr">
        <is>
          <t>POU</t>
        </is>
      </c>
      <c r="C47" s="356" t="inlineStr">
        <is>
          <t>PARTIAL — limited footprint; SCE serves most of Corona</t>
        </is>
      </c>
      <c r="D47" s="484" t="inlineStr">
        <is>
          <t>Not researched</t>
        </is>
      </c>
      <c r="F47" s="276" t="inlineStr">
        <is>
          <t>Corona Department of Water &amp; Power</t>
        </is>
      </c>
      <c r="J47" s="276" t="inlineStr">
        <is>
          <t>Corona Department of Water &amp; Power</t>
        </is>
      </c>
      <c r="K47" s="276" t="inlineStr">
        <is>
          <t>POU</t>
        </is>
      </c>
      <c r="L47" s="276" t="inlineStr">
        <is>
          <t>PARTIAL — limited footprint; SCE serves most of Corona</t>
        </is>
      </c>
      <c r="M47" s="276" t="inlineStr">
        <is>
          <t>Not researched</t>
        </is>
      </c>
      <c r="N47" s="276" t="inlineStr">
        <is>
          <t>California</t>
        </is>
      </c>
    </row>
    <row r="48" ht="27.76" customHeight="1" s="254">
      <c r="A48" s="298" t="inlineStr">
        <is>
          <t>Victorville Municipal Utilities Services</t>
        </is>
      </c>
      <c r="B48" s="319" t="inlineStr">
        <is>
          <t>POU</t>
        </is>
      </c>
      <c r="C48" s="356" t="inlineStr">
        <is>
          <t>SCLA &amp; industrial Victorville; SCE serves the rest</t>
        </is>
      </c>
      <c r="D48" s="484" t="inlineStr">
        <is>
          <t>Not researched</t>
        </is>
      </c>
      <c r="F48" s="276" t="inlineStr">
        <is>
          <t>Victorville Municipal Utilities Services</t>
        </is>
      </c>
      <c r="J48" s="276" t="inlineStr">
        <is>
          <t>Victorville Municipal Utilities Services</t>
        </is>
      </c>
      <c r="K48" s="276" t="inlineStr">
        <is>
          <t>POU</t>
        </is>
      </c>
      <c r="L48" s="276" t="inlineStr">
        <is>
          <t>SCLA &amp; industrial Victorville; SCE serves the rest</t>
        </is>
      </c>
      <c r="M48" s="276" t="inlineStr">
        <is>
          <t>Not researched</t>
        </is>
      </c>
      <c r="N48" s="276" t="inlineStr">
        <is>
          <t>California</t>
        </is>
      </c>
    </row>
    <row r="49" ht="19.5" customHeight="1" s="254">
      <c r="A49" s="298" t="inlineStr">
        <is>
          <t>Island Energy (Pittsburg Power Co.)</t>
        </is>
      </c>
      <c r="B49" s="319" t="inlineStr">
        <is>
          <t>POU</t>
        </is>
      </c>
      <c r="C49" s="356" t="inlineStr">
        <is>
          <t>Mare Island &amp; Pittsburg</t>
        </is>
      </c>
      <c r="D49" s="484" t="inlineStr">
        <is>
          <t>Not researched</t>
        </is>
      </c>
      <c r="F49" s="276" t="inlineStr">
        <is>
          <t>Island Energy (Pittsburg Power Co.)</t>
        </is>
      </c>
      <c r="J49" s="276" t="inlineStr">
        <is>
          <t>Island Energy (Pittsburg Power Co.)</t>
        </is>
      </c>
      <c r="K49" s="276" t="inlineStr">
        <is>
          <t>POU</t>
        </is>
      </c>
      <c r="L49" s="276" t="inlineStr">
        <is>
          <t>Mare Island &amp; Pittsburg</t>
        </is>
      </c>
      <c r="M49" s="276" t="inlineStr">
        <is>
          <t>Not researched</t>
        </is>
      </c>
      <c r="N49" s="276" t="inlineStr">
        <is>
          <t>California</t>
        </is>
      </c>
    </row>
    <row r="50" ht="19.5" customHeight="1" s="254">
      <c r="A50" s="298" t="inlineStr">
        <is>
          <t>Port of Oakland</t>
        </is>
      </c>
      <c r="B50" s="319" t="inlineStr">
        <is>
          <t>POU</t>
        </is>
      </c>
      <c r="C50" s="356" t="inlineStr">
        <is>
          <t>Port &amp; Oakland Airport tenants</t>
        </is>
      </c>
      <c r="D50" s="484" t="inlineStr">
        <is>
          <t>Not researched</t>
        </is>
      </c>
      <c r="F50" s="276" t="inlineStr">
        <is>
          <t>Port of Oakland</t>
        </is>
      </c>
      <c r="J50" s="276" t="inlineStr">
        <is>
          <t>Port of Oakland</t>
        </is>
      </c>
      <c r="K50" s="276" t="inlineStr">
        <is>
          <t>POU</t>
        </is>
      </c>
      <c r="L50" s="276" t="inlineStr">
        <is>
          <t>Port &amp; Oakland Airport tenants</t>
        </is>
      </c>
      <c r="M50" s="276" t="inlineStr">
        <is>
          <t>Not researched</t>
        </is>
      </c>
      <c r="N50" s="276" t="inlineStr">
        <is>
          <t>California</t>
        </is>
      </c>
    </row>
    <row r="51" ht="19.5" customHeight="1" s="254">
      <c r="A51" s="298" t="inlineStr">
        <is>
          <t>Port of Stockton</t>
        </is>
      </c>
      <c r="B51" s="319" t="inlineStr">
        <is>
          <t>POU</t>
        </is>
      </c>
      <c r="C51" s="356" t="inlineStr">
        <is>
          <t>Port tenants, San Joaquin Co.</t>
        </is>
      </c>
      <c r="D51" s="484" t="inlineStr">
        <is>
          <t>Not researched</t>
        </is>
      </c>
      <c r="F51" s="276" t="inlineStr">
        <is>
          <t>Port of Stockton</t>
        </is>
      </c>
      <c r="J51" s="276" t="inlineStr">
        <is>
          <t>Port of Stockton</t>
        </is>
      </c>
      <c r="K51" s="276" t="inlineStr">
        <is>
          <t>POU</t>
        </is>
      </c>
      <c r="L51" s="276" t="inlineStr">
        <is>
          <t>Port tenants, San Joaquin Co.</t>
        </is>
      </c>
      <c r="M51" s="276" t="inlineStr">
        <is>
          <t>Not researched</t>
        </is>
      </c>
      <c r="N51" s="276" t="inlineStr">
        <is>
          <t>California</t>
        </is>
      </c>
    </row>
    <row r="52" ht="19.5" customHeight="1" s="254">
      <c r="A52" s="298" t="inlineStr">
        <is>
          <t>City of Industry</t>
        </is>
      </c>
      <c r="B52" s="319" t="inlineStr">
        <is>
          <t>POU</t>
        </is>
      </c>
      <c r="C52" s="356" t="inlineStr">
        <is>
          <t>Industrial city, LA Co.</t>
        </is>
      </c>
      <c r="D52" s="484" t="inlineStr">
        <is>
          <t>Not researched</t>
        </is>
      </c>
      <c r="F52" s="276" t="inlineStr">
        <is>
          <t>City of Industry</t>
        </is>
      </c>
      <c r="J52" s="276" t="inlineStr">
        <is>
          <t>City of Industry</t>
        </is>
      </c>
      <c r="K52" s="276" t="inlineStr">
        <is>
          <t>POU</t>
        </is>
      </c>
      <c r="L52" s="276" t="inlineStr">
        <is>
          <t>Industrial city, LA Co.</t>
        </is>
      </c>
      <c r="M52" s="276" t="inlineStr">
        <is>
          <t>Not researched</t>
        </is>
      </c>
      <c r="N52" s="276" t="inlineStr">
        <is>
          <t>California</t>
        </is>
      </c>
    </row>
    <row r="53" ht="27.76" customHeight="1" s="254">
      <c r="A53" s="298" t="inlineStr">
        <is>
          <t>Cerritos Electric Utility</t>
        </is>
      </c>
      <c r="B53" s="319" t="inlineStr">
        <is>
          <t>POU</t>
        </is>
      </c>
      <c r="C53" s="356" t="inlineStr">
        <is>
          <t>Cerritos businesses — SCE still DELIVERS. Verify</t>
        </is>
      </c>
      <c r="D53" s="484" t="inlineStr">
        <is>
          <t>Verify delivery tariff with SCE</t>
        </is>
      </c>
      <c r="F53" s="276" t="inlineStr">
        <is>
          <t>Cerritos Electric Utility</t>
        </is>
      </c>
      <c r="J53" s="276" t="inlineStr">
        <is>
          <t>Cerritos Electric Utility</t>
        </is>
      </c>
      <c r="K53" s="276" t="inlineStr">
        <is>
          <t>POU</t>
        </is>
      </c>
      <c r="L53" s="276" t="inlineStr">
        <is>
          <t>Cerritos businesses — SCE still DELIVERS. Verify</t>
        </is>
      </c>
      <c r="M53" s="276" t="inlineStr">
        <is>
          <t>Verify delivery tariff with SCE</t>
        </is>
      </c>
      <c r="N53" s="276" t="inlineStr">
        <is>
          <t>California</t>
        </is>
      </c>
    </row>
    <row r="54" ht="19.5" customHeight="1" s="254">
      <c r="A54" s="298" t="inlineStr">
        <is>
          <t>Lathrop Irrigation District</t>
        </is>
      </c>
      <c r="B54" s="319" t="inlineStr">
        <is>
          <t>POU</t>
        </is>
      </c>
      <c r="C54" s="356" t="inlineStr">
        <is>
          <t>Parts of Lathrop, San Joaquin Co.</t>
        </is>
      </c>
      <c r="D54" s="484" t="inlineStr">
        <is>
          <t>Not researched</t>
        </is>
      </c>
      <c r="F54" s="276" t="inlineStr">
        <is>
          <t>Lathrop Irrigation District</t>
        </is>
      </c>
      <c r="J54" s="276" t="inlineStr">
        <is>
          <t>Lathrop Irrigation District</t>
        </is>
      </c>
      <c r="K54" s="276" t="inlineStr">
        <is>
          <t>POU</t>
        </is>
      </c>
      <c r="L54" s="276" t="inlineStr">
        <is>
          <t>Parts of Lathrop, San Joaquin Co.</t>
        </is>
      </c>
      <c r="M54" s="276" t="inlineStr">
        <is>
          <t>Not researched</t>
        </is>
      </c>
      <c r="N54" s="276" t="inlineStr">
        <is>
          <t>California</t>
        </is>
      </c>
    </row>
    <row r="55" ht="19.5" customHeight="1" s="254">
      <c r="A55" s="298" t="inlineStr">
        <is>
          <t>Aha Macav Power Service (Fort Mojave)</t>
        </is>
      </c>
      <c r="B55" s="319" t="inlineStr">
        <is>
          <t>Tribal</t>
        </is>
      </c>
      <c r="C55" s="356" t="inlineStr">
        <is>
          <t>Fort Mojave reservation near Needles</t>
        </is>
      </c>
      <c r="D55" s="484" t="inlineStr">
        <is>
          <t>Not researched</t>
        </is>
      </c>
      <c r="F55" s="276" t="inlineStr">
        <is>
          <t>Aha Macav Power Service (Fort Mojave)</t>
        </is>
      </c>
      <c r="J55" s="276" t="inlineStr">
        <is>
          <t>Aha Macav Power Service (Fort Mojave)</t>
        </is>
      </c>
      <c r="K55" s="276" t="inlineStr">
        <is>
          <t>Tribal</t>
        </is>
      </c>
      <c r="L55" s="276" t="inlineStr">
        <is>
          <t>Fort Mojave reservation near Needles</t>
        </is>
      </c>
      <c r="M55" s="276" t="inlineStr">
        <is>
          <t>Not researched</t>
        </is>
      </c>
      <c r="N55" s="276" t="inlineStr">
        <is>
          <t>California</t>
        </is>
      </c>
    </row>
    <row r="56" ht="19.5" customHeight="1" s="254">
      <c r="A56" s="298" t="inlineStr">
        <is>
          <t>Plumas-Sierra Rural Electric Cooperative</t>
        </is>
      </c>
      <c r="B56" s="319" t="inlineStr">
        <is>
          <t>Co-op</t>
        </is>
      </c>
      <c r="C56" s="356" t="inlineStr">
        <is>
          <t>Plumas, Lassen, Sierra counties</t>
        </is>
      </c>
      <c r="D56" s="484" t="inlineStr">
        <is>
          <t>Not researched</t>
        </is>
      </c>
      <c r="F56" s="276" t="inlineStr">
        <is>
          <t>Plumas-Sierra Rural Electric Cooperative</t>
        </is>
      </c>
      <c r="J56" s="276" t="inlineStr">
        <is>
          <t>Plumas-Sierra Rural Electric Cooperative</t>
        </is>
      </c>
      <c r="K56" s="276" t="inlineStr">
        <is>
          <t>Co-op</t>
        </is>
      </c>
      <c r="L56" s="276" t="inlineStr">
        <is>
          <t>Plumas, Lassen, Sierra counties</t>
        </is>
      </c>
      <c r="M56" s="276" t="inlineStr">
        <is>
          <t>Not researched</t>
        </is>
      </c>
      <c r="N56" s="276" t="inlineStr">
        <is>
          <t>California</t>
        </is>
      </c>
    </row>
    <row r="57" ht="27.76" customHeight="1" s="254">
      <c r="A57" s="298" t="inlineStr">
        <is>
          <t>Anza Electric Cooperative</t>
        </is>
      </c>
      <c r="B57" s="319" t="inlineStr">
        <is>
          <t>Co-op</t>
        </is>
      </c>
      <c r="C57" s="356" t="inlineStr">
        <is>
          <t>Anza, Aguanga, Garner Valley, Riverside Co.</t>
        </is>
      </c>
      <c r="D57" s="484" t="inlineStr">
        <is>
          <t>Not researched</t>
        </is>
      </c>
      <c r="F57" s="276" t="inlineStr">
        <is>
          <t>Anza Electric Cooperative</t>
        </is>
      </c>
      <c r="J57" s="276" t="inlineStr">
        <is>
          <t>Anza Electric Cooperative</t>
        </is>
      </c>
      <c r="K57" s="276" t="inlineStr">
        <is>
          <t>Co-op</t>
        </is>
      </c>
      <c r="L57" s="276" t="inlineStr">
        <is>
          <t>Anza, Aguanga, Garner Valley, Riverside Co.</t>
        </is>
      </c>
      <c r="M57" s="276" t="inlineStr">
        <is>
          <t>Not researched</t>
        </is>
      </c>
      <c r="N57" s="276" t="inlineStr">
        <is>
          <t>California</t>
        </is>
      </c>
    </row>
    <row r="58" ht="19.5" customHeight="1" s="254">
      <c r="A58" s="298" t="inlineStr">
        <is>
          <t>Surprise Valley Electrification Corp</t>
        </is>
      </c>
      <c r="B58" s="319" t="inlineStr">
        <is>
          <t>Co-op</t>
        </is>
      </c>
      <c r="C58" s="356" t="inlineStr">
        <is>
          <t>Modoc &amp; Lassen counties</t>
        </is>
      </c>
      <c r="D58" s="484" t="inlineStr">
        <is>
          <t>Not researched</t>
        </is>
      </c>
      <c r="F58" s="276" t="inlineStr">
        <is>
          <t>Surprise Valley Electrification Corp</t>
        </is>
      </c>
      <c r="J58" s="276" t="inlineStr">
        <is>
          <t>Surprise Valley Electrification Corp</t>
        </is>
      </c>
      <c r="K58" s="276" t="inlineStr">
        <is>
          <t>Co-op</t>
        </is>
      </c>
      <c r="L58" s="276" t="inlineStr">
        <is>
          <t>Modoc &amp; Lassen counties</t>
        </is>
      </c>
      <c r="M58" s="276" t="inlineStr">
        <is>
          <t>Not researched</t>
        </is>
      </c>
      <c r="N58" s="276" t="inlineStr">
        <is>
          <t>California</t>
        </is>
      </c>
    </row>
    <row r="59" ht="27.76" customHeight="1" s="254">
      <c r="A59" s="298" t="inlineStr">
        <is>
          <t>Valley Electric Association</t>
        </is>
      </c>
      <c r="B59" s="319" t="inlineStr">
        <is>
          <t>Co-op</t>
        </is>
      </c>
      <c r="C59" s="356" t="inlineStr">
        <is>
          <t>Sliver of eastern Inyo Co. (44 customers)</t>
        </is>
      </c>
      <c r="D59" s="484" t="inlineStr">
        <is>
          <t>Not researched</t>
        </is>
      </c>
      <c r="F59" s="276" t="inlineStr">
        <is>
          <t>Valley Electric Association</t>
        </is>
      </c>
      <c r="J59" s="276" t="inlineStr">
        <is>
          <t>Valley Electric Association</t>
        </is>
      </c>
      <c r="K59" s="276" t="inlineStr">
        <is>
          <t>Co-op</t>
        </is>
      </c>
      <c r="L59" s="276" t="inlineStr">
        <is>
          <t>Sliver of eastern Inyo Co. (44 customers)</t>
        </is>
      </c>
      <c r="M59" s="276" t="inlineStr">
        <is>
          <t>Not researched</t>
        </is>
      </c>
      <c r="N59" s="276" t="inlineStr">
        <is>
          <t>California</t>
        </is>
      </c>
    </row>
    <row r="60" ht="27.76" customHeight="1" s="254">
      <c r="A60" s="298" t="inlineStr">
        <is>
          <t>Other / not listed — enter manually</t>
        </is>
      </c>
      <c r="B60" s="319" t="inlineStr">
        <is>
          <t>Other</t>
        </is>
      </c>
      <c r="C60" s="486" t="n"/>
      <c r="D60" s="484" t="inlineStr">
        <is>
          <t>Enter the tariff manually on 9_Overrides</t>
        </is>
      </c>
      <c r="F60" s="276" t="inlineStr">
        <is>
          <t>DTE Electric Company</t>
        </is>
      </c>
      <c r="J60" s="276" t="inlineStr">
        <is>
          <t>DTE Electric Company</t>
        </is>
      </c>
      <c r="K60" s="276" t="inlineStr">
        <is>
          <t>IOU</t>
        </is>
      </c>
      <c r="L60" s="276" t="inlineStr">
        <is>
          <t>Southeast Michigan — Detroit, Ann Arbor, Port Huron</t>
        </is>
      </c>
      <c r="M60" s="276" t="inlineStr">
        <is>
          <t>Not researched here</t>
        </is>
      </c>
      <c r="N60" s="276" t="inlineStr">
        <is>
          <t>Michigan</t>
        </is>
      </c>
    </row>
    <row r="61" ht="14.25" customHeight="1" s="254">
      <c r="F61" s="276" t="inlineStr">
        <is>
          <t>Consumers Energy</t>
        </is>
      </c>
      <c r="J61" s="276" t="inlineStr">
        <is>
          <t>Consumers Energy</t>
        </is>
      </c>
      <c r="K61" s="276" t="inlineStr">
        <is>
          <t>IOU</t>
        </is>
      </c>
      <c r="L61" s="276" t="inlineStr">
        <is>
          <t>Most of the Lower Peninsula outside DTE</t>
        </is>
      </c>
      <c r="M61" s="276" t="inlineStr">
        <is>
          <t>Not researched here</t>
        </is>
      </c>
      <c r="N61" s="276" t="inlineStr">
        <is>
          <t>Michigan</t>
        </is>
      </c>
    </row>
    <row r="62" ht="14.25" customHeight="1" s="254">
      <c r="F62" s="276" t="inlineStr">
        <is>
          <t>Indiana Michigan Power (AEP)</t>
        </is>
      </c>
      <c r="J62" s="276" t="inlineStr">
        <is>
          <t>Indiana Michigan Power (AEP)</t>
        </is>
      </c>
      <c r="K62" s="276" t="inlineStr">
        <is>
          <t>IOU</t>
        </is>
      </c>
      <c r="L62" s="276" t="inlineStr">
        <is>
          <t>Southwest MI — Berrien, Cass, St Joseph</t>
        </is>
      </c>
      <c r="M62" s="276" t="inlineStr">
        <is>
          <t>Not researched here</t>
        </is>
      </c>
      <c r="N62" s="276" t="inlineStr">
        <is>
          <t>Michigan</t>
        </is>
      </c>
    </row>
    <row r="63" ht="15" customHeight="1" s="254">
      <c r="A63" s="262" t="inlineStr">
        <is>
          <t>COMMUNITY CHOICE AGGREGATORS — generation only</t>
        </is>
      </c>
      <c r="F63" s="276" t="inlineStr">
        <is>
          <t>UMERC — Upper Michigan Energy Resources (We Energies)</t>
        </is>
      </c>
      <c r="J63" s="276" t="inlineStr">
        <is>
          <t>UMERC — Upper Michigan Energy Resources (We Energies)</t>
        </is>
      </c>
      <c r="K63" s="276" t="inlineStr">
        <is>
          <t>IOU</t>
        </is>
      </c>
      <c r="L63" s="276" t="inlineStr">
        <is>
          <t>Upper Peninsula — Marquette, Menominee</t>
        </is>
      </c>
      <c r="M63" s="276" t="inlineStr">
        <is>
          <t>Not researched here</t>
        </is>
      </c>
      <c r="N63" s="276"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276" t="inlineStr">
        <is>
          <t>UPPCO — Upper Peninsula Power Company</t>
        </is>
      </c>
      <c r="J64" s="276" t="inlineStr">
        <is>
          <t>UPPCO — Upper Peninsula Power Company</t>
        </is>
      </c>
      <c r="K64" s="276" t="inlineStr">
        <is>
          <t>IOU</t>
        </is>
      </c>
      <c r="L64" s="276" t="inlineStr">
        <is>
          <t>Upper Peninsula</t>
        </is>
      </c>
      <c r="M64" s="276" t="inlineStr">
        <is>
          <t>Not researched here</t>
        </is>
      </c>
      <c r="N64" s="276" t="inlineStr">
        <is>
          <t>Michigan</t>
        </is>
      </c>
    </row>
    <row r="65" ht="14.25" customHeight="1" s="254">
      <c r="F65" s="276" t="inlineStr">
        <is>
          <t>Northern States Power — Xcel</t>
        </is>
      </c>
      <c r="J65" s="276" t="inlineStr">
        <is>
          <t>Northern States Power — Xcel</t>
        </is>
      </c>
      <c r="K65" s="276" t="inlineStr">
        <is>
          <t>IOU</t>
        </is>
      </c>
      <c r="L65" s="276" t="inlineStr">
        <is>
          <t>Western Upper Peninsula</t>
        </is>
      </c>
      <c r="M65" s="276" t="inlineStr">
        <is>
          <t>Not researched here</t>
        </is>
      </c>
      <c r="N65" s="276" t="inlineStr">
        <is>
          <t>Michigan</t>
        </is>
      </c>
    </row>
    <row r="66" ht="15" customHeight="1" s="254">
      <c r="A66" s="479" t="inlineStr">
        <is>
          <t>Community choice aggregator</t>
        </is>
      </c>
      <c r="B66" s="480" t="n"/>
      <c r="C66" s="479" t="inlineStr">
        <is>
          <t>Delivery utility</t>
        </is>
      </c>
      <c r="D66" s="480" t="n"/>
      <c r="F66" s="276" t="inlineStr">
        <is>
          <t>Alpena Power Company</t>
        </is>
      </c>
      <c r="J66" s="276" t="inlineStr">
        <is>
          <t>Alpena Power Company</t>
        </is>
      </c>
      <c r="K66" s="276" t="inlineStr">
        <is>
          <t>IOU</t>
        </is>
      </c>
      <c r="L66" s="276" t="inlineStr">
        <is>
          <t>Alpena and surrounding townships</t>
        </is>
      </c>
      <c r="M66" s="276" t="inlineStr">
        <is>
          <t>Not researched here</t>
        </is>
      </c>
      <c r="N66" s="276" t="inlineStr">
        <is>
          <t>Michigan</t>
        </is>
      </c>
    </row>
    <row r="67" ht="15" customHeight="1" s="254">
      <c r="A67" s="296" t="inlineStr">
        <is>
          <t>None — bundled utility service</t>
        </is>
      </c>
      <c r="B67" s="487" t="n"/>
      <c r="C67" s="296" t="inlineStr">
        <is>
          <t>—</t>
        </is>
      </c>
      <c r="F67" s="276" t="inlineStr">
        <is>
          <t>Lansing Board of Water &amp; Light</t>
        </is>
      </c>
      <c r="J67" s="276" t="inlineStr">
        <is>
          <t>Lansing Board of Water &amp; Light</t>
        </is>
      </c>
      <c r="K67" s="276" t="inlineStr">
        <is>
          <t>POU</t>
        </is>
      </c>
      <c r="L67" s="276" t="inlineStr">
        <is>
          <t>Lansing and East Lansing</t>
        </is>
      </c>
      <c r="M67" s="276" t="inlineStr">
        <is>
          <t>Not researched here</t>
        </is>
      </c>
      <c r="N67" s="276" t="inlineStr">
        <is>
          <t>Michigan</t>
        </is>
      </c>
    </row>
    <row r="68" ht="15" customHeight="1" s="254">
      <c r="A68" s="296" t="inlineStr">
        <is>
          <t>Ava Community Energy (fmr East Bay CE)</t>
        </is>
      </c>
      <c r="B68" s="487" t="n"/>
      <c r="C68" s="296" t="inlineStr">
        <is>
          <t>PG&amp;E</t>
        </is>
      </c>
      <c r="F68" s="276" t="inlineStr">
        <is>
          <t>Holland Board of Public Works</t>
        </is>
      </c>
      <c r="J68" s="276" t="inlineStr">
        <is>
          <t>Holland Board of Public Works</t>
        </is>
      </c>
      <c r="K68" s="276" t="inlineStr">
        <is>
          <t>POU</t>
        </is>
      </c>
      <c r="L68" s="276" t="inlineStr">
        <is>
          <t>City of Holland</t>
        </is>
      </c>
      <c r="M68" s="276" t="inlineStr">
        <is>
          <t>Not researched here</t>
        </is>
      </c>
      <c r="N68" s="276" t="inlineStr">
        <is>
          <t>Michigan</t>
        </is>
      </c>
    </row>
    <row r="69" ht="15" customHeight="1" s="254">
      <c r="A69" s="296" t="inlineStr">
        <is>
          <t>Clean Power Alliance</t>
        </is>
      </c>
      <c r="B69" s="487" t="n"/>
      <c r="C69" s="296" t="inlineStr">
        <is>
          <t>SCE</t>
        </is>
      </c>
      <c r="F69" s="276" t="inlineStr">
        <is>
          <t>Traverse City Light &amp; Power</t>
        </is>
      </c>
      <c r="J69" s="276" t="inlineStr">
        <is>
          <t>Traverse City Light &amp; Power</t>
        </is>
      </c>
      <c r="K69" s="276" t="inlineStr">
        <is>
          <t>POU</t>
        </is>
      </c>
      <c r="L69" s="276" t="inlineStr">
        <is>
          <t>City of Traverse City</t>
        </is>
      </c>
      <c r="M69" s="276" t="inlineStr">
        <is>
          <t>Not researched here</t>
        </is>
      </c>
      <c r="N69" s="276" t="inlineStr">
        <is>
          <t>Michigan</t>
        </is>
      </c>
    </row>
    <row r="70" ht="15" customHeight="1" s="254">
      <c r="A70" s="296" t="inlineStr">
        <is>
          <t>Central Coast Community Energy (3CE)</t>
        </is>
      </c>
      <c r="B70" s="487" t="n"/>
      <c r="C70" s="296" t="inlineStr">
        <is>
          <t>PG&amp;E and SCE — depends on address</t>
        </is>
      </c>
      <c r="F70" s="276" t="inlineStr">
        <is>
          <t>Coldwater Board of Public Utilities</t>
        </is>
      </c>
      <c r="J70" s="276" t="inlineStr">
        <is>
          <t>Coldwater Board of Public Utilities</t>
        </is>
      </c>
      <c r="K70" s="276" t="inlineStr">
        <is>
          <t>POU</t>
        </is>
      </c>
      <c r="L70" s="276" t="inlineStr">
        <is>
          <t>City of Coldwater</t>
        </is>
      </c>
      <c r="M70" s="276" t="inlineStr">
        <is>
          <t>Not researched here</t>
        </is>
      </c>
      <c r="N70" s="276" t="inlineStr">
        <is>
          <t>Michigan</t>
        </is>
      </c>
    </row>
    <row r="71" ht="15" customHeight="1" s="254">
      <c r="A71" s="296" t="inlineStr">
        <is>
          <t>MCE</t>
        </is>
      </c>
      <c r="B71" s="487" t="n"/>
      <c r="C71" s="296" t="inlineStr">
        <is>
          <t>PG&amp;E</t>
        </is>
      </c>
      <c r="F71" s="276" t="inlineStr">
        <is>
          <t>Wyandotte Municipal Services</t>
        </is>
      </c>
      <c r="J71" s="276" t="inlineStr">
        <is>
          <t>Wyandotte Municipal Services</t>
        </is>
      </c>
      <c r="K71" s="276" t="inlineStr">
        <is>
          <t>POU</t>
        </is>
      </c>
      <c r="L71" s="276" t="inlineStr">
        <is>
          <t>City of Wyandotte</t>
        </is>
      </c>
      <c r="M71" s="276" t="inlineStr">
        <is>
          <t>Not researched here</t>
        </is>
      </c>
      <c r="N71" s="276" t="inlineStr">
        <is>
          <t>Michigan</t>
        </is>
      </c>
    </row>
    <row r="72" ht="15" customHeight="1" s="254">
      <c r="A72" s="296" t="inlineStr">
        <is>
          <t>San Diego Community Power</t>
        </is>
      </c>
      <c r="B72" s="487" t="n"/>
      <c r="C72" s="296" t="inlineStr">
        <is>
          <t>SDG&amp;E</t>
        </is>
      </c>
      <c r="F72" s="276" t="inlineStr">
        <is>
          <t>Cloverland Electric Cooperative</t>
        </is>
      </c>
      <c r="J72" s="276" t="inlineStr">
        <is>
          <t>Cloverland Electric Cooperative</t>
        </is>
      </c>
      <c r="K72" s="276" t="inlineStr">
        <is>
          <t>Co-op</t>
        </is>
      </c>
      <c r="L72" s="276" t="inlineStr">
        <is>
          <t>Eastern Upper Peninsula</t>
        </is>
      </c>
      <c r="M72" s="276" t="inlineStr">
        <is>
          <t>Not researched here</t>
        </is>
      </c>
      <c r="N72" s="276" t="inlineStr">
        <is>
          <t>Michigan</t>
        </is>
      </c>
    </row>
    <row r="73" ht="15" customHeight="1" s="254">
      <c r="A73" s="296" t="inlineStr">
        <is>
          <t>CleanPowerSF</t>
        </is>
      </c>
      <c r="B73" s="487" t="n"/>
      <c r="C73" s="296" t="inlineStr">
        <is>
          <t>PG&amp;E</t>
        </is>
      </c>
      <c r="F73" s="276" t="inlineStr">
        <is>
          <t>Great Lakes Energy</t>
        </is>
      </c>
      <c r="J73" s="276" t="inlineStr">
        <is>
          <t>Great Lakes Energy</t>
        </is>
      </c>
      <c r="K73" s="276" t="inlineStr">
        <is>
          <t>Co-op</t>
        </is>
      </c>
      <c r="L73" s="276" t="inlineStr">
        <is>
          <t>Northwest Lower Peninsula</t>
        </is>
      </c>
      <c r="M73" s="276" t="inlineStr">
        <is>
          <t>Not researched here</t>
        </is>
      </c>
      <c r="N73" s="276" t="inlineStr">
        <is>
          <t>Michigan</t>
        </is>
      </c>
    </row>
    <row r="74" ht="15" customHeight="1" s="254">
      <c r="A74" s="296" t="inlineStr">
        <is>
          <t>WestLight Energy (fmr Peninsula Clean Energy)</t>
        </is>
      </c>
      <c r="B74" s="487" t="n"/>
      <c r="C74" s="296" t="inlineStr">
        <is>
          <t>PG&amp;E</t>
        </is>
      </c>
      <c r="F74" s="276" t="inlineStr">
        <is>
          <t>Presque Isle Electric &amp; Gas Co-op</t>
        </is>
      </c>
      <c r="J74" s="276" t="inlineStr">
        <is>
          <t>Presque Isle Electric &amp; Gas Co-op</t>
        </is>
      </c>
      <c r="K74" s="276" t="inlineStr">
        <is>
          <t>Co-op</t>
        </is>
      </c>
      <c r="L74" s="276" t="inlineStr">
        <is>
          <t>Northeast Lower Peninsula</t>
        </is>
      </c>
      <c r="M74" s="276" t="inlineStr">
        <is>
          <t>Not researched here</t>
        </is>
      </c>
      <c r="N74" s="276" t="inlineStr">
        <is>
          <t>Michigan</t>
        </is>
      </c>
    </row>
    <row r="75" ht="15" customHeight="1" s="254">
      <c r="A75" s="296" t="inlineStr">
        <is>
          <t>San José Clean Energy</t>
        </is>
      </c>
      <c r="B75" s="487" t="n"/>
      <c r="C75" s="296" t="inlineStr">
        <is>
          <t>PG&amp;E</t>
        </is>
      </c>
      <c r="F75" s="276" t="inlineStr">
        <is>
          <t>HomeWorks Tri-County Electric</t>
        </is>
      </c>
      <c r="J75" s="276" t="inlineStr">
        <is>
          <t>HomeWorks Tri-County Electric</t>
        </is>
      </c>
      <c r="K75" s="276" t="inlineStr">
        <is>
          <t>Co-op</t>
        </is>
      </c>
      <c r="L75" s="276" t="inlineStr">
        <is>
          <t>Central Lower Peninsula</t>
        </is>
      </c>
      <c r="M75" s="276" t="inlineStr">
        <is>
          <t>Not researched here</t>
        </is>
      </c>
      <c r="N75" s="276" t="inlineStr">
        <is>
          <t>Michigan</t>
        </is>
      </c>
    </row>
    <row r="76" ht="15" customHeight="1" s="254">
      <c r="A76" s="296" t="inlineStr">
        <is>
          <t>Silicon Valley Clean Energy</t>
        </is>
      </c>
      <c r="B76" s="487" t="n"/>
      <c r="C76" s="296" t="inlineStr">
        <is>
          <t>PG&amp;E</t>
        </is>
      </c>
      <c r="F76" s="276" t="inlineStr">
        <is>
          <t>Midwest Energy &amp; Communications</t>
        </is>
      </c>
      <c r="J76" s="276" t="inlineStr">
        <is>
          <t>Midwest Energy &amp; Communications</t>
        </is>
      </c>
      <c r="K76" s="276" t="inlineStr">
        <is>
          <t>Co-op</t>
        </is>
      </c>
      <c r="L76" s="276" t="inlineStr">
        <is>
          <t>Southwest Lower Peninsula</t>
        </is>
      </c>
      <c r="M76" s="276" t="inlineStr">
        <is>
          <t>Not researched here</t>
        </is>
      </c>
      <c r="N76" s="276" t="inlineStr">
        <is>
          <t>Michigan</t>
        </is>
      </c>
    </row>
    <row r="77" ht="15" customHeight="1" s="254">
      <c r="A77" s="296" t="inlineStr">
        <is>
          <t>Clean Energy Alliance</t>
        </is>
      </c>
      <c r="B77" s="487" t="n"/>
      <c r="C77" s="296" t="inlineStr">
        <is>
          <t>SDG&amp;E</t>
        </is>
      </c>
      <c r="F77" s="276" t="inlineStr">
        <is>
          <t>Thumb Electric Cooperative</t>
        </is>
      </c>
      <c r="J77" s="276" t="inlineStr">
        <is>
          <t>Thumb Electric Cooperative</t>
        </is>
      </c>
      <c r="K77" s="276" t="inlineStr">
        <is>
          <t>Co-op</t>
        </is>
      </c>
      <c r="L77" s="276" t="inlineStr">
        <is>
          <t>The Thumb — Huron, Sanilac, Tuscola</t>
        </is>
      </c>
      <c r="M77" s="276" t="inlineStr">
        <is>
          <t>Not researched here</t>
        </is>
      </c>
      <c r="N77" s="276" t="inlineStr">
        <is>
          <t>Michigan</t>
        </is>
      </c>
    </row>
    <row r="78" ht="15" customHeight="1" s="254">
      <c r="A78" s="296" t="inlineStr">
        <is>
          <t>Sonoma Clean Power</t>
        </is>
      </c>
      <c r="B78" s="487" t="n"/>
      <c r="C78" s="296" t="inlineStr">
        <is>
          <t>PG&amp;E</t>
        </is>
      </c>
      <c r="F78" s="276" t="inlineStr">
        <is>
          <t>Other / not listed — enter manually</t>
        </is>
      </c>
      <c r="J78" s="276" t="inlineStr">
        <is>
          <t>Other / not listed — enter manually</t>
        </is>
      </c>
      <c r="K78" s="276" t="inlineStr">
        <is>
          <t>Other</t>
        </is>
      </c>
      <c r="L78" s="336" t="n"/>
      <c r="M78" s="276" t="inlineStr">
        <is>
          <t>Enter the tariff manually</t>
        </is>
      </c>
      <c r="N78" s="336" t="n"/>
    </row>
    <row r="79" ht="15" customHeight="1" s="254">
      <c r="A79" s="296" t="inlineStr">
        <is>
          <t>Orange County Power Authority</t>
        </is>
      </c>
      <c r="B79" s="487" t="n"/>
      <c r="C79" s="296" t="inlineStr">
        <is>
          <t>SCE</t>
        </is>
      </c>
    </row>
    <row r="80" ht="15" customHeight="1" s="254">
      <c r="A80" s="296" t="inlineStr">
        <is>
          <t>Pioneer Community Energy</t>
        </is>
      </c>
      <c r="B80" s="487" t="n"/>
      <c r="C80" s="296" t="inlineStr">
        <is>
          <t>PG&amp;E</t>
        </is>
      </c>
    </row>
    <row r="81" ht="15" customHeight="1" s="254">
      <c r="A81" s="296" t="inlineStr">
        <is>
          <t>Redwood Coast Energy Authority</t>
        </is>
      </c>
      <c r="B81" s="487" t="n"/>
      <c r="C81" s="296" t="inlineStr">
        <is>
          <t>PG&amp;E</t>
        </is>
      </c>
    </row>
    <row r="82" ht="15" customHeight="1" s="254">
      <c r="A82" s="296" t="inlineStr">
        <is>
          <t>Valley Clean Energy</t>
        </is>
      </c>
      <c r="B82" s="487" t="n"/>
      <c r="C82" s="296" t="inlineStr">
        <is>
          <t>PG&amp;E</t>
        </is>
      </c>
    </row>
    <row r="83" ht="15" customHeight="1" s="254">
      <c r="A83" s="296" t="inlineStr">
        <is>
          <t>Lancaster Energy</t>
        </is>
      </c>
      <c r="B83" s="487" t="n"/>
      <c r="C83" s="296" t="inlineStr">
        <is>
          <t>SCE</t>
        </is>
      </c>
    </row>
    <row r="84" ht="15" customHeight="1" s="254">
      <c r="A84" s="296" t="inlineStr">
        <is>
          <t>Desert Community Energy</t>
        </is>
      </c>
      <c r="B84" s="487" t="n"/>
      <c r="C84" s="296" t="inlineStr">
        <is>
          <t>SCE</t>
        </is>
      </c>
    </row>
    <row r="85" ht="15" customHeight="1" s="254">
      <c r="A85" s="296" t="inlineStr">
        <is>
          <t>Rancho Mirage Energy Authority</t>
        </is>
      </c>
      <c r="B85" s="487" t="n"/>
      <c r="C85" s="296" t="inlineStr">
        <is>
          <t>SCE</t>
        </is>
      </c>
    </row>
    <row r="86" ht="15" customHeight="1" s="254">
      <c r="A86" s="296" t="inlineStr">
        <is>
          <t>Apple Valley Choice Energy</t>
        </is>
      </c>
      <c r="B86" s="487" t="n"/>
      <c r="C86" s="296" t="inlineStr">
        <is>
          <t>SCE</t>
        </is>
      </c>
    </row>
    <row r="87" ht="15" customHeight="1" s="254">
      <c r="A87" s="296" t="inlineStr">
        <is>
          <t>Energy for Palmdale's Independent Choice</t>
        </is>
      </c>
      <c r="B87" s="487" t="n"/>
      <c r="C87" s="296" t="inlineStr">
        <is>
          <t>SCE</t>
        </is>
      </c>
    </row>
    <row r="88" ht="15" customHeight="1" s="254">
      <c r="A88" s="296" t="inlineStr">
        <is>
          <t>King City Community Power</t>
        </is>
      </c>
      <c r="B88" s="487" t="n"/>
      <c r="C88" s="296" t="inlineStr">
        <is>
          <t>PG&amp;E</t>
        </is>
      </c>
    </row>
    <row r="89" ht="15" customHeight="1" s="254">
      <c r="A89" s="296" t="inlineStr">
        <is>
          <t>Pico Rivera Innovative Municipal Energy</t>
        </is>
      </c>
      <c r="B89" s="487" t="n"/>
      <c r="C89" s="296" t="inlineStr">
        <is>
          <t>SCE</t>
        </is>
      </c>
    </row>
    <row r="90" ht="15" customHeight="1" s="254">
      <c r="A90" s="296" t="inlineStr">
        <is>
          <t>Pomona Choice Energy</t>
        </is>
      </c>
      <c r="B90" s="487" t="n"/>
      <c r="C90" s="296" t="inlineStr">
        <is>
          <t>SCE</t>
        </is>
      </c>
    </row>
    <row r="91" ht="15" customHeight="1" s="254">
      <c r="A91" s="296" t="inlineStr">
        <is>
          <t>San Jacinto Power</t>
        </is>
      </c>
      <c r="B91" s="487" t="n"/>
      <c r="C91" s="296" t="inlineStr">
        <is>
          <t>SCE</t>
        </is>
      </c>
    </row>
    <row r="92" ht="15" customHeight="1" s="254">
      <c r="A92" s="296" t="inlineStr">
        <is>
          <t>Santa Barbara Clean Energy</t>
        </is>
      </c>
      <c r="B92" s="487" t="n"/>
      <c r="C92" s="296" t="inlineStr">
        <is>
          <t>SCE</t>
        </is>
      </c>
    </row>
    <row r="93" ht="15" customHeight="1" s="254">
      <c r="A93" s="296" t="inlineStr">
        <is>
          <t>Direct Access ESP (Calpine, Constellation, Shell…)</t>
        </is>
      </c>
      <c r="B93" s="487" t="n"/>
      <c r="C93" s="296" t="inlineStr">
        <is>
          <t>Host IOU</t>
        </is>
      </c>
    </row>
    <row r="94" s="254"/>
    <row r="95" s="254"/>
    <row r="96" ht="17.25" customHeight="1" s="254">
      <c r="A96" s="488" t="inlineStr">
        <is>
          <t>MICHIGAN ELECTRIC UTILITIES — DELIVERY</t>
        </is>
      </c>
    </row>
    <row r="97" ht="19.5" customHeight="1" s="254">
      <c r="A97" s="279" t="inlineStr">
        <is>
          <t>Service territory in Michigan does not follow a mailing address in any obvious way. Confirm the serving utility against the site address before pricing anything that depends on it.</t>
        </is>
      </c>
    </row>
    <row r="98" s="254"/>
    <row r="99" ht="14.25" customHeight="1" s="254">
      <c r="A99" s="479" t="inlineStr">
        <is>
          <t>Utility</t>
        </is>
      </c>
      <c r="B99" s="479" t="inlineStr">
        <is>
          <t>Type</t>
        </is>
      </c>
      <c r="C99" s="479" t="inlineStr">
        <is>
          <t>Service territory</t>
        </is>
      </c>
    </row>
    <row r="100" ht="29.08" customHeight="1" s="254">
      <c r="A100" s="298" t="inlineStr">
        <is>
          <t>DTE Electric Company</t>
        </is>
      </c>
      <c r="B100" s="319" t="inlineStr">
        <is>
          <t>IOU</t>
        </is>
      </c>
      <c r="C100" s="319" t="inlineStr">
        <is>
          <t>Southeast Michigan — Detroit, Ann Arbor, Port Huron</t>
        </is>
      </c>
    </row>
    <row r="101" ht="29.08" customHeight="1" s="254">
      <c r="A101" s="298" t="inlineStr">
        <is>
          <t>Consumers Energy</t>
        </is>
      </c>
      <c r="B101" s="319" t="inlineStr">
        <is>
          <t>IOU</t>
        </is>
      </c>
      <c r="C101" s="319" t="inlineStr">
        <is>
          <t>Most of the Lower Peninsula outside DTE</t>
        </is>
      </c>
    </row>
    <row r="102" ht="29.08" customHeight="1" s="254">
      <c r="A102" s="298" t="inlineStr">
        <is>
          <t>Indiana Michigan Power (AEP)</t>
        </is>
      </c>
      <c r="B102" s="319" t="inlineStr">
        <is>
          <t>IOU</t>
        </is>
      </c>
      <c r="C102" s="319" t="inlineStr">
        <is>
          <t>Southwest MI — Berrien, Cass, St Joseph</t>
        </is>
      </c>
    </row>
    <row r="103" ht="29.08" customHeight="1" s="254">
      <c r="A103" s="298" t="inlineStr">
        <is>
          <t>UMERC — Upper Michigan Energy Resources (We Energies)</t>
        </is>
      </c>
      <c r="B103" s="319" t="inlineStr">
        <is>
          <t>IOU</t>
        </is>
      </c>
      <c r="C103" s="319" t="inlineStr">
        <is>
          <t>Upper Peninsula — Marquette, Menominee</t>
        </is>
      </c>
    </row>
    <row r="104" ht="19.5" customHeight="1" s="254">
      <c r="A104" s="298" t="inlineStr">
        <is>
          <t>UPPCO — Upper Peninsula Power Company</t>
        </is>
      </c>
      <c r="B104" s="319" t="inlineStr">
        <is>
          <t>IOU</t>
        </is>
      </c>
      <c r="C104" s="319" t="inlineStr">
        <is>
          <t>Upper Peninsula</t>
        </is>
      </c>
    </row>
    <row r="105" ht="19.5" customHeight="1" s="254">
      <c r="A105" s="298" t="inlineStr">
        <is>
          <t>Northern States Power — Xcel</t>
        </is>
      </c>
      <c r="B105" s="319" t="inlineStr">
        <is>
          <t>IOU</t>
        </is>
      </c>
      <c r="C105" s="319" t="inlineStr">
        <is>
          <t>Western Upper Peninsula</t>
        </is>
      </c>
    </row>
    <row r="106" ht="19.5" customHeight="1" s="254">
      <c r="A106" s="298" t="inlineStr">
        <is>
          <t>Alpena Power Company</t>
        </is>
      </c>
      <c r="B106" s="319" t="inlineStr">
        <is>
          <t>IOU</t>
        </is>
      </c>
      <c r="C106" s="319" t="inlineStr">
        <is>
          <t>Alpena and surrounding townships</t>
        </is>
      </c>
    </row>
    <row r="107" ht="19.5" customHeight="1" s="254">
      <c r="A107" s="298" t="inlineStr">
        <is>
          <t>Lansing Board of Water &amp; Light</t>
        </is>
      </c>
      <c r="B107" s="319" t="inlineStr">
        <is>
          <t>POU</t>
        </is>
      </c>
      <c r="C107" s="319" t="inlineStr">
        <is>
          <t>Lansing and East Lansing</t>
        </is>
      </c>
    </row>
    <row r="108" ht="19.5" customHeight="1" s="254">
      <c r="A108" s="298" t="inlineStr">
        <is>
          <t>Holland Board of Public Works</t>
        </is>
      </c>
      <c r="B108" s="319" t="inlineStr">
        <is>
          <t>POU</t>
        </is>
      </c>
      <c r="C108" s="319" t="inlineStr">
        <is>
          <t>City of Holland</t>
        </is>
      </c>
    </row>
    <row r="109" ht="19.5" customHeight="1" s="254">
      <c r="A109" s="298" t="inlineStr">
        <is>
          <t>Traverse City Light &amp; Power</t>
        </is>
      </c>
      <c r="B109" s="319" t="inlineStr">
        <is>
          <t>POU</t>
        </is>
      </c>
      <c r="C109" s="319" t="inlineStr">
        <is>
          <t>City of Traverse City</t>
        </is>
      </c>
    </row>
    <row r="110" ht="19.5" customHeight="1" s="254">
      <c r="A110" s="298" t="inlineStr">
        <is>
          <t>Coldwater Board of Public Utilities</t>
        </is>
      </c>
      <c r="B110" s="319" t="inlineStr">
        <is>
          <t>POU</t>
        </is>
      </c>
      <c r="C110" s="319" t="inlineStr">
        <is>
          <t>City of Coldwater</t>
        </is>
      </c>
    </row>
    <row r="111" ht="19.5" customHeight="1" s="254">
      <c r="A111" s="298" t="inlineStr">
        <is>
          <t>Wyandotte Municipal Services</t>
        </is>
      </c>
      <c r="B111" s="319" t="inlineStr">
        <is>
          <t>POU</t>
        </is>
      </c>
      <c r="C111" s="319" t="inlineStr">
        <is>
          <t>City of Wyandotte</t>
        </is>
      </c>
    </row>
    <row r="112" ht="19.5" customHeight="1" s="254">
      <c r="A112" s="298" t="inlineStr">
        <is>
          <t>Cloverland Electric Cooperative</t>
        </is>
      </c>
      <c r="B112" s="319" t="inlineStr">
        <is>
          <t>Co-op</t>
        </is>
      </c>
      <c r="C112" s="319" t="inlineStr">
        <is>
          <t>Eastern Upper Peninsula</t>
        </is>
      </c>
    </row>
    <row r="113" ht="19.5" customHeight="1" s="254">
      <c r="A113" s="298" t="inlineStr">
        <is>
          <t>Great Lakes Energy</t>
        </is>
      </c>
      <c r="B113" s="319" t="inlineStr">
        <is>
          <t>Co-op</t>
        </is>
      </c>
      <c r="C113" s="319" t="inlineStr">
        <is>
          <t>Northwest Lower Peninsula</t>
        </is>
      </c>
    </row>
    <row r="114" ht="19.5" customHeight="1" s="254">
      <c r="A114" s="298" t="inlineStr">
        <is>
          <t>Presque Isle Electric &amp; Gas Co-op</t>
        </is>
      </c>
      <c r="B114" s="319" t="inlineStr">
        <is>
          <t>Co-op</t>
        </is>
      </c>
      <c r="C114" s="319" t="inlineStr">
        <is>
          <t>Northeast Lower Peninsula</t>
        </is>
      </c>
    </row>
    <row r="115" ht="19.5" customHeight="1" s="254">
      <c r="A115" s="298" t="inlineStr">
        <is>
          <t>HomeWorks Tri-County Electric</t>
        </is>
      </c>
      <c r="B115" s="319" t="inlineStr">
        <is>
          <t>Co-op</t>
        </is>
      </c>
      <c r="C115" s="319" t="inlineStr">
        <is>
          <t>Central Lower Peninsula</t>
        </is>
      </c>
    </row>
    <row r="116" ht="19.5" customHeight="1" s="254">
      <c r="A116" s="298" t="inlineStr">
        <is>
          <t>Midwest Energy &amp; Communications</t>
        </is>
      </c>
      <c r="B116" s="319" t="inlineStr">
        <is>
          <t>Co-op</t>
        </is>
      </c>
      <c r="C116" s="319" t="inlineStr">
        <is>
          <t>Southwest Lower Peninsula</t>
        </is>
      </c>
    </row>
    <row r="117" ht="19.5" customHeight="1" s="254">
      <c r="A117" s="298" t="inlineStr">
        <is>
          <t>Thumb Electric Cooperative</t>
        </is>
      </c>
      <c r="B117" s="319" t="inlineStr">
        <is>
          <t>Co-op</t>
        </is>
      </c>
      <c r="C117" s="319" t="inlineStr">
        <is>
          <t>The Thumb — Huron, Sanilac, Tuscola</t>
        </is>
      </c>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4"/>
    <col width="13" customWidth="1" style="254" min="4" max="4"/>
    <col width="9" customWidth="1" style="253" min="5" max="5"/>
    <col width="11" customWidth="1" style="253" min="6" max="9"/>
    <col width="13" customWidth="1" style="254" min="7" max="7"/>
    <col width="13" customWidth="1" style="254" min="8" max="8"/>
    <col width="13" customWidth="1" style="254" min="9" max="9"/>
    <col width="9" customWidth="1" style="253" min="10" max="10"/>
    <col width="11" customWidth="1" style="253" min="11" max="13"/>
    <col width="13" customWidth="1" style="254" min="12" max="12"/>
    <col width="13" customWidth="1" style="254" min="13" max="13"/>
    <col width="34" customWidth="1" style="253" min="14" max="16"/>
    <col width="13" customWidth="1" style="254" min="15" max="15"/>
    <col width="13" customWidth="1" style="254" min="16"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s="254"/>
    <row r="4" ht="26.44" customHeight="1" s="254">
      <c r="A4" s="351" t="inlineStr">
        <is>
          <t>Utility</t>
        </is>
      </c>
      <c r="B4" s="352" t="inlineStr">
        <is>
          <t>Schedule</t>
        </is>
      </c>
      <c r="C4" s="352" t="inlineStr">
        <is>
          <t>From kW</t>
        </is>
      </c>
      <c r="D4" s="351" t="inlineStr">
        <is>
          <t>To kW</t>
        </is>
      </c>
      <c r="E4" s="352" t="inlineStr">
        <is>
          <t>Voltage</t>
        </is>
      </c>
      <c r="F4" s="352" t="inlineStr">
        <is>
          <t>Peak $/kWh</t>
        </is>
      </c>
      <c r="G4" s="352" t="inlineStr">
        <is>
          <t>Off-peak $/kWh</t>
        </is>
      </c>
      <c r="H4" s="352" t="inlineStr">
        <is>
          <t>Super off $/kWh</t>
        </is>
      </c>
      <c r="I4" s="352" t="inlineStr">
        <is>
          <t>Demand $/kW-mo</t>
        </is>
      </c>
      <c r="J4" s="352" t="inlineStr">
        <is>
          <t>Block kW</t>
        </is>
      </c>
      <c r="K4" s="352" t="inlineStr">
        <is>
          <t>Block $/mo</t>
        </is>
      </c>
      <c r="L4" s="352" t="inlineStr">
        <is>
          <t>Overage $/kW</t>
        </is>
      </c>
      <c r="M4" s="352" t="inlineStr">
        <is>
          <t>Customer $/mo</t>
        </is>
      </c>
      <c r="N4" s="352" t="inlineStr">
        <is>
          <t>Seasons</t>
        </is>
      </c>
      <c r="O4" s="352" t="inlineStr">
        <is>
          <t>Time-of-use periods</t>
        </is>
      </c>
      <c r="P4" s="352" t="inlineStr">
        <is>
          <t>STATUS</t>
        </is>
      </c>
      <c r="Q4" s="352" t="inlineStr">
        <is>
          <t>Effective</t>
        </is>
      </c>
      <c r="R4" s="352" t="inlineStr">
        <is>
          <t>Source</t>
        </is>
      </c>
    </row>
    <row r="5" ht="31.5" customHeight="1" s="254">
      <c r="A5" s="489" t="inlineStr">
        <is>
          <t>PG&amp;E — Pacific Gas and Electric</t>
        </is>
      </c>
      <c r="B5" s="356" t="inlineStr">
        <is>
          <t>BEV-1</t>
        </is>
      </c>
      <c r="C5" s="490" t="n">
        <v>0</v>
      </c>
      <c r="D5" s="490" t="n">
        <v>100</v>
      </c>
      <c r="E5" s="356" t="inlineStr">
        <is>
          <t>Secondary</t>
        </is>
      </c>
      <c r="F5" s="491" t="n">
        <v>0.35711</v>
      </c>
      <c r="G5" s="491" t="n">
        <v>0.1651</v>
      </c>
      <c r="H5" s="491" t="n">
        <v>0.13844</v>
      </c>
      <c r="I5" s="377" t="n">
        <v>0</v>
      </c>
      <c r="J5" s="490" t="n">
        <v>10</v>
      </c>
      <c r="K5" s="377" t="n">
        <v>12.41</v>
      </c>
      <c r="L5" s="377" t="n">
        <v>2.48</v>
      </c>
      <c r="M5" s="377" t="n">
        <v>0</v>
      </c>
      <c r="N5" s="356" t="inlineStr">
        <is>
          <t>None — no seasonal variation</t>
        </is>
      </c>
      <c r="O5" s="356" t="inlineStr">
        <is>
          <t>Peak 4-9pm daily; Off 9pm-9am &amp; 2-4pm; Super off 9am-2pm — ALL YEAR</t>
        </is>
      </c>
      <c r="P5" s="492" t="inlineStr">
        <is>
          <t>VERIFIED</t>
        </is>
      </c>
      <c r="Q5" s="356" t="inlineStr">
        <is>
          <t>2026-03-01</t>
        </is>
      </c>
      <c r="R5" s="493" t="inlineStr">
        <is>
          <t>https://www.pge.com/tariffs/assets/pdf/tariffbook/ELEC_SCHEDS_BEV.pdf</t>
        </is>
      </c>
    </row>
    <row r="6" ht="31.5" customHeight="1" s="254">
      <c r="A6" s="489" t="inlineStr">
        <is>
          <t>PG&amp;E — Pacific Gas and Electric</t>
        </is>
      </c>
      <c r="B6" s="356" t="inlineStr">
        <is>
          <t>BEV-2-S</t>
        </is>
      </c>
      <c r="C6" s="490" t="n">
        <v>100</v>
      </c>
      <c r="D6" s="490" t="n">
        <v>99999</v>
      </c>
      <c r="E6" s="356" t="inlineStr">
        <is>
          <t>Secondary</t>
        </is>
      </c>
      <c r="F6" s="491" t="n">
        <v>0.36977</v>
      </c>
      <c r="G6" s="491" t="n">
        <v>0.15654</v>
      </c>
      <c r="H6" s="491" t="n">
        <v>0.13327</v>
      </c>
      <c r="I6" s="377" t="n">
        <v>0</v>
      </c>
      <c r="J6" s="490" t="n">
        <v>50</v>
      </c>
      <c r="K6" s="377" t="n">
        <v>95.56</v>
      </c>
      <c r="L6" s="377" t="n">
        <v>3.82</v>
      </c>
      <c r="M6" s="377" t="n">
        <v>0</v>
      </c>
      <c r="N6" s="356" t="inlineStr">
        <is>
          <t>None — no seasonal variation</t>
        </is>
      </c>
      <c r="O6" s="356" t="inlineStr">
        <is>
          <t>Peak 4-9pm daily; Off 9pm-9am &amp; 2-4pm; Super off 9am-2pm — ALL YEAR</t>
        </is>
      </c>
      <c r="P6" s="492" t="inlineStr">
        <is>
          <t>VERIFIED</t>
        </is>
      </c>
      <c r="Q6" s="356" t="inlineStr">
        <is>
          <t>2026-03-01</t>
        </is>
      </c>
      <c r="R6" s="493" t="inlineStr">
        <is>
          <t>https://www.pge.com/tariffs/assets/pdf/tariffbook/ELEC_SCHEDS_BEV.pdf</t>
        </is>
      </c>
    </row>
    <row r="7" ht="31.5" customHeight="1" s="254">
      <c r="A7" s="489" t="inlineStr">
        <is>
          <t>PG&amp;E — Pacific Gas and Electric</t>
        </is>
      </c>
      <c r="B7" s="356" t="inlineStr">
        <is>
          <t>BEV-2-P</t>
        </is>
      </c>
      <c r="C7" s="490" t="n">
        <v>100</v>
      </c>
      <c r="D7" s="490" t="n">
        <v>99999</v>
      </c>
      <c r="E7" s="356" t="inlineStr">
        <is>
          <t>Primary</t>
        </is>
      </c>
      <c r="F7" s="491" t="n">
        <v>0.36003</v>
      </c>
      <c r="G7" s="491" t="n">
        <v>0.15115</v>
      </c>
      <c r="H7" s="491" t="n">
        <v>0.12849</v>
      </c>
      <c r="I7" s="377" t="n">
        <v>0</v>
      </c>
      <c r="J7" s="490" t="n">
        <v>50</v>
      </c>
      <c r="K7" s="377" t="n">
        <v>85.98</v>
      </c>
      <c r="L7" s="377" t="n">
        <v>3.44</v>
      </c>
      <c r="M7" s="377" t="n">
        <v>0</v>
      </c>
      <c r="N7" s="356" t="inlineStr">
        <is>
          <t>None — no seasonal variation</t>
        </is>
      </c>
      <c r="O7" s="356" t="inlineStr">
        <is>
          <t>Peak 4-9pm daily; Off 9pm-9am &amp; 2-4pm; Super off 9am-2pm — ALL YEAR</t>
        </is>
      </c>
      <c r="P7" s="492" t="inlineStr">
        <is>
          <t>VERIFIED</t>
        </is>
      </c>
      <c r="Q7" s="356" t="inlineStr">
        <is>
          <t>2026-03-01</t>
        </is>
      </c>
      <c r="R7" s="493" t="inlineStr">
        <is>
          <t>https://www.pge.com/tariffs/assets/pdf/tariffbook/ELEC_SCHEDS_BEV.pdf</t>
        </is>
      </c>
    </row>
    <row r="8" ht="31.5" customHeight="1" s="254">
      <c r="A8" s="489" t="inlineStr">
        <is>
          <t>PG&amp;E — Pacific Gas and Electric</t>
        </is>
      </c>
      <c r="B8" s="356" t="inlineStr">
        <is>
          <t>B-20 (non-EV alternative)</t>
        </is>
      </c>
      <c r="C8" s="490" t="n">
        <v>1000</v>
      </c>
      <c r="D8" s="490" t="n">
        <v>99999</v>
      </c>
      <c r="E8" s="356" t="inlineStr">
        <is>
          <t>Secondary</t>
        </is>
      </c>
      <c r="F8" s="491" t="n">
        <v>0.17702</v>
      </c>
      <c r="G8" s="491" t="n">
        <v>0.11482</v>
      </c>
      <c r="H8" s="491" t="n">
        <v>0.05872</v>
      </c>
      <c r="I8" s="377" t="n">
        <v>80.43000000000001</v>
      </c>
      <c r="J8" s="490" t="n">
        <v>0</v>
      </c>
      <c r="K8" s="377" t="n">
        <v>0</v>
      </c>
      <c r="L8" s="377" t="n">
        <v>0</v>
      </c>
      <c r="M8" s="377" t="n">
        <v>3265</v>
      </c>
      <c r="N8" s="356" t="inlineStr">
        <is>
          <t>Summer Jun-Sep / Winter Oct-May</t>
        </is>
      </c>
      <c r="O8" s="356" t="inlineStr">
        <is>
          <t>Peak 4-9pm; Super off 9am-2pm MARCH-MAY ONLY</t>
        </is>
      </c>
      <c r="P8" s="494" t="inlineStr">
        <is>
          <t>PARTIAL</t>
        </is>
      </c>
      <c r="Q8" s="356" t="inlineStr">
        <is>
          <t>2026-03-01</t>
        </is>
      </c>
      <c r="R8" s="493" t="inlineStr">
        <is>
          <t>https://www.pge.com/tariffs/assets/pdf/tariffbook/ELEC_SCHEDS_B-20.pdf</t>
        </is>
      </c>
    </row>
    <row r="9" ht="55.5" customHeight="1" s="254">
      <c r="A9" s="489" t="inlineStr">
        <is>
          <t>SCE — Southern California Edison</t>
        </is>
      </c>
      <c r="B9" s="356" t="inlineStr">
        <is>
          <t>TOU-EV-7</t>
        </is>
      </c>
      <c r="C9" s="490" t="n">
        <v>0</v>
      </c>
      <c r="D9" s="490" t="n">
        <v>20</v>
      </c>
      <c r="E9" s="356" t="inlineStr">
        <is>
          <t>Secondary</t>
        </is>
      </c>
      <c r="F9" s="491" t="n">
        <v>0</v>
      </c>
      <c r="G9" s="491" t="n">
        <v>0</v>
      </c>
      <c r="H9" s="491" t="n">
        <v>0</v>
      </c>
      <c r="I9" s="377" t="n">
        <v>0</v>
      </c>
      <c r="J9" s="490" t="n">
        <v>0</v>
      </c>
      <c r="K9" s="377" t="n">
        <v>0</v>
      </c>
      <c r="L9" s="377" t="n">
        <v>0</v>
      </c>
      <c r="M9" s="377" t="n">
        <v>0</v>
      </c>
      <c r="N9" s="356" t="inlineStr">
        <is>
          <t>Summer Jun-Sep / Winter Oct-May</t>
        </is>
      </c>
      <c r="O9" s="356" t="inlineStr">
        <is>
          <t>On-peak 4-9pm summer weekdays</t>
        </is>
      </c>
      <c r="P9" s="495" t="inlineStr">
        <is>
          <t>NOT PUBLISHED</t>
        </is>
      </c>
      <c r="Q9" s="486" t="n"/>
      <c r="R9" s="493" t="inlineStr">
        <is>
          <t>https://www.sce.com/sites/default/files/custom-files/PDF_Files/TOU-EV-7_8_9_Rate_Fact_Sheet_072025_Accessible.pdf</t>
        </is>
      </c>
    </row>
    <row r="10" ht="55.5" customHeight="1" s="254">
      <c r="A10" s="489" t="inlineStr">
        <is>
          <t>SCE — Southern California Edison</t>
        </is>
      </c>
      <c r="B10" s="356" t="inlineStr">
        <is>
          <t>TOU-EV-8</t>
        </is>
      </c>
      <c r="C10" s="490" t="n">
        <v>20</v>
      </c>
      <c r="D10" s="490" t="n">
        <v>500</v>
      </c>
      <c r="E10" s="356" t="inlineStr">
        <is>
          <t>Secondary</t>
        </is>
      </c>
      <c r="F10" s="491" t="n">
        <v>0</v>
      </c>
      <c r="G10" s="491" t="n">
        <v>0</v>
      </c>
      <c r="H10" s="491" t="n">
        <v>0</v>
      </c>
      <c r="I10" s="377" t="n">
        <v>0</v>
      </c>
      <c r="J10" s="490" t="n">
        <v>0</v>
      </c>
      <c r="K10" s="377" t="n">
        <v>0</v>
      </c>
      <c r="L10" s="377" t="n">
        <v>0</v>
      </c>
      <c r="M10" s="377" t="n">
        <v>0</v>
      </c>
      <c r="N10" s="356" t="inlineStr">
        <is>
          <t>Summer Jun-Sep / Winter Oct-May</t>
        </is>
      </c>
      <c r="O10" s="356" t="inlineStr">
        <is>
          <t>On-peak 4-9pm summer weekdays</t>
        </is>
      </c>
      <c r="P10" s="495" t="inlineStr">
        <is>
          <t>NOT PUBLISHED</t>
        </is>
      </c>
      <c r="Q10" s="486" t="n"/>
      <c r="R10" s="493" t="inlineStr">
        <is>
          <t>https://www.sce.com/sites/default/files/custom-files/PDF_Files/TOU-EV-7_8_9_Rate_Fact_Sheet_072025_Accessible.pdf</t>
        </is>
      </c>
    </row>
    <row r="11" ht="27.76" customHeight="1" s="254">
      <c r="A11" s="489" t="inlineStr">
        <is>
          <t>SCE — Southern California Edison</t>
        </is>
      </c>
      <c r="B11" s="356" t="inlineStr">
        <is>
          <t>TOU-EV-9</t>
        </is>
      </c>
      <c r="C11" s="490" t="n">
        <v>500</v>
      </c>
      <c r="D11" s="490" t="n">
        <v>99999</v>
      </c>
      <c r="E11" s="356" t="inlineStr">
        <is>
          <t>Tiered by voltage</t>
        </is>
      </c>
      <c r="F11" s="491" t="n">
        <v>0</v>
      </c>
      <c r="G11" s="491" t="n">
        <v>0</v>
      </c>
      <c r="H11" s="491" t="n">
        <v>0</v>
      </c>
      <c r="I11" s="377" t="n">
        <v>0</v>
      </c>
      <c r="J11" s="490" t="n">
        <v>0</v>
      </c>
      <c r="K11" s="377" t="n">
        <v>0</v>
      </c>
      <c r="L11" s="377" t="n">
        <v>0</v>
      </c>
      <c r="M11" s="377" t="n">
        <v>0</v>
      </c>
      <c r="N11" s="356" t="inlineStr">
        <is>
          <t>Summer Jun-Sep / Winter Oct-May</t>
        </is>
      </c>
      <c r="O11" s="356" t="inlineStr">
        <is>
          <t>On-peak 4-9pm summer weekdays</t>
        </is>
      </c>
      <c r="P11" s="495" t="inlineStr">
        <is>
          <t>NOT PUBLISHED</t>
        </is>
      </c>
      <c r="Q11" s="486" t="n"/>
      <c r="R11" s="493" t="inlineStr">
        <is>
          <t>https://www.sce.com/sites/default/files/custom-files/PDF_Files/TOU-EV-7_8_9_Rate_Fact_Sheet_072025_Accessible.pdf</t>
        </is>
      </c>
    </row>
    <row r="12" ht="43.5" customHeight="1" s="254">
      <c r="A12" s="489" t="inlineStr">
        <is>
          <t>SDG&amp;E — San Diego Gas &amp; Electric</t>
        </is>
      </c>
      <c r="B12" s="356" t="inlineStr">
        <is>
          <t>EV-HP (&lt;=150 kW)</t>
        </is>
      </c>
      <c r="C12" s="490" t="n">
        <v>20</v>
      </c>
      <c r="D12" s="490" t="n">
        <v>150</v>
      </c>
      <c r="E12" s="356" t="inlineStr">
        <is>
          <t>Secondary</t>
        </is>
      </c>
      <c r="F12" s="491" t="n">
        <v>0.32882</v>
      </c>
      <c r="G12" s="491" t="n">
        <v>0.16295</v>
      </c>
      <c r="H12" s="491" t="n">
        <v>0.15307</v>
      </c>
      <c r="I12" s="377" t="n">
        <v>9.43</v>
      </c>
      <c r="J12" s="490" t="n">
        <v>10</v>
      </c>
      <c r="K12" s="377" t="n">
        <v>50.76</v>
      </c>
      <c r="L12" s="377" t="n">
        <v>0</v>
      </c>
      <c r="M12" s="377" t="n">
        <v>151.26</v>
      </c>
      <c r="N12" s="356" t="inlineStr">
        <is>
          <t>Summer Jun 1-Oct 31 / Winter Nov 1-May 31</t>
        </is>
      </c>
      <c r="O12" s="356" t="inlineStr">
        <is>
          <t>NOT PUBLISHED — obtain from the tariff sheet</t>
        </is>
      </c>
      <c r="P12" s="494" t="inlineStr">
        <is>
          <t>PARTIAL</t>
        </is>
      </c>
      <c r="Q12" s="356" t="inlineStr">
        <is>
          <t>2026-08-01</t>
        </is>
      </c>
      <c r="R12" s="493" t="inlineStr">
        <is>
          <t>https://www.sdge.com/sites/default/files/regulatory/Summary%20Table%20for%20Medium%20Comm%208-1-26.pdf</t>
        </is>
      </c>
    </row>
    <row r="13" ht="43.5" customHeight="1" s="254">
      <c r="A13" s="489" t="inlineStr">
        <is>
          <t>SDG&amp;E — San Diego Gas &amp; Electric</t>
        </is>
      </c>
      <c r="B13" s="356" t="inlineStr">
        <is>
          <t>EV-HP (&gt;150 kW)</t>
        </is>
      </c>
      <c r="C13" s="490" t="n">
        <v>150</v>
      </c>
      <c r="D13" s="490" t="n">
        <v>99999</v>
      </c>
      <c r="E13" s="356" t="inlineStr">
        <is>
          <t>Secondary</t>
        </is>
      </c>
      <c r="F13" s="491" t="n">
        <v>0.32882</v>
      </c>
      <c r="G13" s="491" t="n">
        <v>0.16295</v>
      </c>
      <c r="H13" s="491" t="n">
        <v>0.15307</v>
      </c>
      <c r="I13" s="377" t="n">
        <v>9.43</v>
      </c>
      <c r="J13" s="490" t="n">
        <v>25</v>
      </c>
      <c r="K13" s="377" t="n">
        <v>126.89</v>
      </c>
      <c r="L13" s="377" t="n">
        <v>0</v>
      </c>
      <c r="M13" s="377" t="n">
        <v>151.26</v>
      </c>
      <c r="N13" s="356" t="inlineStr">
        <is>
          <t>Summer Jun 1-Oct 31 / Winter Nov 1-May 31</t>
        </is>
      </c>
      <c r="O13" s="356" t="inlineStr">
        <is>
          <t>NOT PUBLISHED — obtain from the tariff sheet</t>
        </is>
      </c>
      <c r="P13" s="494" t="inlineStr">
        <is>
          <t>PARTIAL</t>
        </is>
      </c>
      <c r="Q13" s="356" t="inlineStr">
        <is>
          <t>2026-08-01</t>
        </is>
      </c>
      <c r="R13" s="493" t="inlineStr">
        <is>
          <t>https://www.sdge.com/sites/default/files/regulatory/Summary%20Table%20for%20Medium%20Comm%208-1-26.pdf</t>
        </is>
      </c>
    </row>
    <row r="14" ht="43.5" customHeight="1" s="254">
      <c r="A14" s="489" t="inlineStr">
        <is>
          <t>SDG&amp;E — San Diego Gas &amp; Electric</t>
        </is>
      </c>
      <c r="B14" s="356" t="inlineStr">
        <is>
          <t>EV-HP Primary (&gt;150 kW)</t>
        </is>
      </c>
      <c r="C14" s="490" t="n">
        <v>150</v>
      </c>
      <c r="D14" s="490" t="n">
        <v>99999</v>
      </c>
      <c r="E14" s="356" t="inlineStr">
        <is>
          <t>Primary</t>
        </is>
      </c>
      <c r="F14" s="491" t="n">
        <v>0.3055</v>
      </c>
      <c r="G14" s="491" t="n">
        <v>0.16257</v>
      </c>
      <c r="H14" s="491" t="n">
        <v>0.15283</v>
      </c>
      <c r="I14" s="377" t="n">
        <v>9.390000000000001</v>
      </c>
      <c r="J14" s="490" t="n">
        <v>25</v>
      </c>
      <c r="K14" s="377" t="n">
        <v>126.24</v>
      </c>
      <c r="L14" s="377" t="n">
        <v>0</v>
      </c>
      <c r="M14" s="377" t="n">
        <v>66.15000000000001</v>
      </c>
      <c r="N14" s="356" t="inlineStr">
        <is>
          <t>Summer Jun 1-Oct 31 / Winter Nov 1-May 31</t>
        </is>
      </c>
      <c r="O14" s="356" t="inlineStr">
        <is>
          <t>NOT PUBLISHED — obtain from the tariff sheet</t>
        </is>
      </c>
      <c r="P14" s="494" t="inlineStr">
        <is>
          <t>PARTIAL</t>
        </is>
      </c>
      <c r="Q14" s="356" t="inlineStr">
        <is>
          <t>2026-08-01</t>
        </is>
      </c>
      <c r="R14" s="493" t="inlineStr">
        <is>
          <t>https://www.sdge.com/sites/default/files/regulatory/Summary%20Table%20for%20Large%20Comm%208-1-26.pdf</t>
        </is>
      </c>
    </row>
    <row r="15" ht="55.5" customHeight="1" s="254">
      <c r="A15" s="489" t="inlineStr">
        <is>
          <t>Liberty Utilities (CalPeco Electric)</t>
        </is>
      </c>
      <c r="B15" s="356" t="inlineStr">
        <is>
          <t>TOU A-3 EV</t>
        </is>
      </c>
      <c r="C15" s="490" t="n">
        <v>200</v>
      </c>
      <c r="D15" s="490" t="n">
        <v>99999</v>
      </c>
      <c r="E15" s="356" t="inlineStr">
        <is>
          <t>All</t>
        </is>
      </c>
      <c r="F15" s="491" t="n">
        <v>0.52239</v>
      </c>
      <c r="G15" s="491" t="n">
        <v>0.30281</v>
      </c>
      <c r="H15" s="491" t="n">
        <v>0</v>
      </c>
      <c r="I15" s="377" t="n">
        <v>0</v>
      </c>
      <c r="J15" s="490" t="n">
        <v>0</v>
      </c>
      <c r="K15" s="377" t="n">
        <v>0</v>
      </c>
      <c r="L15" s="377" t="n">
        <v>0</v>
      </c>
      <c r="M15" s="377" t="n">
        <v>850.8099999999999</v>
      </c>
      <c r="N15" s="356" t="inlineStr">
        <is>
          <t>Summer / Winter — months NOT PUBLISHED</t>
        </is>
      </c>
      <c r="O15" s="356" t="inlineStr">
        <is>
          <t>NOT PUBLISHED — cross-referenced to Special Conditions</t>
        </is>
      </c>
      <c r="P15" s="494" t="inlineStr">
        <is>
          <t>PARTIAL</t>
        </is>
      </c>
      <c r="Q15" s="356" t="inlineStr">
        <is>
          <t>2026-06-01</t>
        </is>
      </c>
      <c r="R15" s="493" t="inlineStr">
        <is>
          <t>https://california.libertyutilities.com/uploads/CalPeco%20Tariffs/Schedule%20No.%20A-3%20TOU%20EV%20Large%20General%20Service.pdf</t>
        </is>
      </c>
    </row>
    <row r="16" ht="43.5" customHeight="1" s="254">
      <c r="A16" s="489" t="inlineStr">
        <is>
          <t>Liberty Utilities (CalPeco Electric)</t>
        </is>
      </c>
      <c r="B16" s="356" t="inlineStr">
        <is>
          <t>TOU A-2 EV</t>
        </is>
      </c>
      <c r="C16" s="490" t="n">
        <v>0</v>
      </c>
      <c r="D16" s="490" t="n">
        <v>200</v>
      </c>
      <c r="E16" s="356" t="inlineStr">
        <is>
          <t>All</t>
        </is>
      </c>
      <c r="F16" s="491" t="n">
        <v>0</v>
      </c>
      <c r="G16" s="491" t="n">
        <v>0</v>
      </c>
      <c r="H16" s="491" t="n">
        <v>0</v>
      </c>
      <c r="I16" s="377" t="n">
        <v>0</v>
      </c>
      <c r="J16" s="490" t="n">
        <v>0</v>
      </c>
      <c r="K16" s="377" t="n">
        <v>0</v>
      </c>
      <c r="L16" s="377" t="n">
        <v>0</v>
      </c>
      <c r="M16" s="377" t="n">
        <v>201.85</v>
      </c>
      <c r="N16" s="356" t="inlineStr">
        <is>
          <t>Summer / Winter — months NOT PUBLISHED</t>
        </is>
      </c>
      <c r="O16" s="356" t="inlineStr">
        <is>
          <t>NOT PUBLISHED</t>
        </is>
      </c>
      <c r="P16" s="494" t="inlineStr">
        <is>
          <t>PARTIAL</t>
        </is>
      </c>
      <c r="Q16" s="356" t="inlineStr">
        <is>
          <t>2026-06-01</t>
        </is>
      </c>
      <c r="R16" s="493" t="inlineStr">
        <is>
          <t>https://california.libertyutilities.com/uploads/CalPeco%20Tariffs/Schedule%20No%20A-2%20TOU%20EV.pdf</t>
        </is>
      </c>
    </row>
    <row r="17" ht="55.5" customHeight="1" s="254">
      <c r="A17" s="489" t="inlineStr">
        <is>
          <t>Pacific Power (PacifiCorp)</t>
        </is>
      </c>
      <c r="B17" s="356" t="inlineStr">
        <is>
          <t>AT-48 Large General TOU</t>
        </is>
      </c>
      <c r="C17" s="490" t="n">
        <v>500</v>
      </c>
      <c r="D17" s="490" t="n">
        <v>99999</v>
      </c>
      <c r="E17" s="356" t="inlineStr">
        <is>
          <t>Secondary</t>
        </is>
      </c>
      <c r="F17" s="491" t="n">
        <v>0.14448</v>
      </c>
      <c r="G17" s="491" t="n">
        <v>0.13419</v>
      </c>
      <c r="H17" s="491" t="n">
        <v>0</v>
      </c>
      <c r="I17" s="377" t="n">
        <v>13.45</v>
      </c>
      <c r="J17" s="490" t="n">
        <v>0</v>
      </c>
      <c r="K17" s="377" t="n">
        <v>0</v>
      </c>
      <c r="L17" s="377" t="n">
        <v>0</v>
      </c>
      <c r="M17" s="377" t="n">
        <v>842.62</v>
      </c>
      <c r="N17" s="356" t="inlineStr">
        <is>
          <t>None</t>
        </is>
      </c>
      <c r="O17" s="356" t="inlineStr">
        <is>
          <t>On-peak adder +0.858c; off-peak credit -0.171c</t>
        </is>
      </c>
      <c r="P17" s="492" t="inlineStr">
        <is>
          <t>VERIFIED</t>
        </is>
      </c>
      <c r="Q17" s="356" t="inlineStr">
        <is>
          <t>2026-07-10</t>
        </is>
      </c>
      <c r="R17" s="493" t="inlineStr">
        <is>
          <t>https://www.pacificpower.net/content/dam/pcorp/documents/en/pacificpower/rates-regulation/california/CA_Price_Summary.pdf</t>
        </is>
      </c>
    </row>
    <row r="18" ht="55.5" customHeight="1" s="254">
      <c r="A18" s="489" t="inlineStr">
        <is>
          <t>Pacific Power (PacifiCorp)</t>
        </is>
      </c>
      <c r="B18" s="356" t="inlineStr">
        <is>
          <t>A-32 General Service</t>
        </is>
      </c>
      <c r="C18" s="490" t="n">
        <v>20</v>
      </c>
      <c r="D18" s="490" t="n">
        <v>500</v>
      </c>
      <c r="E18" s="356" t="inlineStr">
        <is>
          <t>Secondary</t>
        </is>
      </c>
      <c r="F18" s="491" t="n">
        <v>0.20212</v>
      </c>
      <c r="G18" s="491" t="n">
        <v>0.20212</v>
      </c>
      <c r="H18" s="491" t="n">
        <v>0.20212</v>
      </c>
      <c r="I18" s="377" t="n">
        <v>8.5</v>
      </c>
      <c r="J18" s="490" t="n">
        <v>0</v>
      </c>
      <c r="K18" s="377" t="n">
        <v>0</v>
      </c>
      <c r="L18" s="377" t="n">
        <v>0</v>
      </c>
      <c r="M18" s="377" t="n">
        <v>30.54</v>
      </c>
      <c r="N18" s="356" t="inlineStr">
        <is>
          <t>None</t>
        </is>
      </c>
      <c r="O18" s="356" t="inlineStr">
        <is>
          <t>NO time-of-use differentiation at all</t>
        </is>
      </c>
      <c r="P18" s="492" t="inlineStr">
        <is>
          <t>VERIFIED</t>
        </is>
      </c>
      <c r="Q18" s="356" t="inlineStr">
        <is>
          <t>2026-06-08</t>
        </is>
      </c>
      <c r="R18" s="493" t="inlineStr">
        <is>
          <t>https://www.pacificpower.net/content/dam/pcorp/documents/en/pacificpower/rates-regulation/california/CA_Price_Summary.pdf</t>
        </is>
      </c>
    </row>
    <row r="19" ht="43.5" customHeight="1" s="254">
      <c r="A19" s="489" t="inlineStr">
        <is>
          <t>Bear Valley Electric Service (BVES)</t>
        </is>
      </c>
      <c r="B19" s="356" t="inlineStr">
        <is>
          <t>TOU-EV-3</t>
        </is>
      </c>
      <c r="C19" s="490" t="n">
        <v>20</v>
      </c>
      <c r="D19" s="490" t="n">
        <v>500</v>
      </c>
      <c r="E19" s="356" t="inlineStr">
        <is>
          <t>All</t>
        </is>
      </c>
      <c r="F19" s="491" t="n">
        <v>0.46315</v>
      </c>
      <c r="G19" s="491" t="n">
        <v>0.37417</v>
      </c>
      <c r="H19" s="491" t="n">
        <v>0.26005</v>
      </c>
      <c r="I19" s="377" t="n">
        <v>9.5</v>
      </c>
      <c r="J19" s="490" t="n">
        <v>0</v>
      </c>
      <c r="K19" s="377" t="n">
        <v>0</v>
      </c>
      <c r="L19" s="377" t="n">
        <v>0</v>
      </c>
      <c r="M19" s="377" t="n">
        <v>0</v>
      </c>
      <c r="N19" s="356" t="inlineStr">
        <is>
          <t>Summer / Winter — months NOT PUBLISHED</t>
        </is>
      </c>
      <c r="O19" s="356" t="inlineStr">
        <is>
          <t>NOT PUBLISHED</t>
        </is>
      </c>
      <c r="P19" s="494" t="inlineStr">
        <is>
          <t>PARTIAL</t>
        </is>
      </c>
      <c r="Q19" s="356" t="inlineStr">
        <is>
          <t>2026-09-01</t>
        </is>
      </c>
      <c r="R19" s="493" t="inlineStr">
        <is>
          <t>https://www.bvesinc.com/assets/documents/rates/8-24-26-549-e/schedule-no-tou-ev-3.pdf</t>
        </is>
      </c>
    </row>
    <row r="20" ht="43.5" customHeight="1" s="254">
      <c r="A20" s="489" t="inlineStr">
        <is>
          <t>SMUD — Sacramento Municipal Utility District</t>
        </is>
      </c>
      <c r="B20" s="356" t="inlineStr">
        <is>
          <t>EV_SR tier EV3 (&gt;20% util)</t>
        </is>
      </c>
      <c r="C20" s="490" t="n">
        <v>20</v>
      </c>
      <c r="D20" s="490" t="n">
        <v>99999</v>
      </c>
      <c r="E20" s="356" t="inlineStr">
        <is>
          <t>Secondary</t>
        </is>
      </c>
      <c r="F20" s="491" t="n">
        <v>0.2151</v>
      </c>
      <c r="G20" s="491" t="n">
        <v>0.089</v>
      </c>
      <c r="H20" s="491" t="n">
        <v>0.0638</v>
      </c>
      <c r="I20" s="377" t="n">
        <v>0</v>
      </c>
      <c r="J20" s="490" t="n">
        <v>25</v>
      </c>
      <c r="K20" s="377" t="n">
        <v>333</v>
      </c>
      <c r="L20" s="377" t="n">
        <v>0</v>
      </c>
      <c r="M20" s="377" t="n">
        <v>0</v>
      </c>
      <c r="N20" s="356" t="inlineStr">
        <is>
          <t>Summer Jun 1-Sep 30 / Non-summer Oct 1-May 31</t>
        </is>
      </c>
      <c r="O20" s="356" t="inlineStr">
        <is>
          <t>Peak 4-9pm weekdays; off-peak saver 9am-4pm non-summer</t>
        </is>
      </c>
      <c r="P20" s="492" t="inlineStr">
        <is>
          <t>VERIFIED</t>
        </is>
      </c>
      <c r="Q20" s="356" t="inlineStr">
        <is>
          <t>2026-01-01</t>
        </is>
      </c>
      <c r="R20" s="493" t="inlineStr">
        <is>
          <t>https://www.smud.org/-/media/Documents/Rate-Information/Rates/EV-Pilot-Tariff.ashx</t>
        </is>
      </c>
    </row>
    <row r="21" ht="43.5" customHeight="1" s="254">
      <c r="A21" s="489" t="inlineStr">
        <is>
          <t>SMUD — Sacramento Municipal Utility District</t>
        </is>
      </c>
      <c r="B21" s="356" t="inlineStr">
        <is>
          <t>EV_SR tier EV2 (10-20% util)</t>
        </is>
      </c>
      <c r="C21" s="490" t="n">
        <v>20</v>
      </c>
      <c r="D21" s="490" t="n">
        <v>99999</v>
      </c>
      <c r="E21" s="356" t="inlineStr">
        <is>
          <t>Secondary</t>
        </is>
      </c>
      <c r="F21" s="491" t="n">
        <v>0.2669</v>
      </c>
      <c r="G21" s="491" t="n">
        <v>0.1088</v>
      </c>
      <c r="H21" s="491" t="n">
        <v>0.0658</v>
      </c>
      <c r="I21" s="377" t="n">
        <v>0</v>
      </c>
      <c r="J21" s="490" t="n">
        <v>25</v>
      </c>
      <c r="K21" s="377" t="n">
        <v>264</v>
      </c>
      <c r="L21" s="377" t="n">
        <v>0</v>
      </c>
      <c r="M21" s="377" t="n">
        <v>0</v>
      </c>
      <c r="N21" s="356" t="inlineStr">
        <is>
          <t>Summer Jun 1-Sep 30 / Non-summer Oct 1-May 31</t>
        </is>
      </c>
      <c r="O21" s="356" t="inlineStr">
        <is>
          <t>Peak 4-9pm weekdays; off-peak saver 9am-4pm non-summer</t>
        </is>
      </c>
      <c r="P21" s="492" t="inlineStr">
        <is>
          <t>VERIFIED</t>
        </is>
      </c>
      <c r="Q21" s="356" t="inlineStr">
        <is>
          <t>2026-01-01</t>
        </is>
      </c>
      <c r="R21" s="493" t="inlineStr">
        <is>
          <t>https://www.smud.org/-/media/Documents/Rate-Information/Rates/EV-Pilot-Tariff.ashx</t>
        </is>
      </c>
    </row>
    <row r="22" ht="43.5" customHeight="1" s="254">
      <c r="A22" s="489" t="inlineStr">
        <is>
          <t>SMUD — Sacramento Municipal Utility District</t>
        </is>
      </c>
      <c r="B22" s="356" t="inlineStr">
        <is>
          <t>EV_SR tier EV1 (&lt;10% util)</t>
        </is>
      </c>
      <c r="C22" s="490" t="n">
        <v>20</v>
      </c>
      <c r="D22" s="490" t="n">
        <v>99999</v>
      </c>
      <c r="E22" s="356" t="inlineStr">
        <is>
          <t>Secondary</t>
        </is>
      </c>
      <c r="F22" s="491" t="n">
        <v>0.5198</v>
      </c>
      <c r="G22" s="491" t="n">
        <v>0.2051</v>
      </c>
      <c r="H22" s="491" t="n">
        <v>0.115</v>
      </c>
      <c r="I22" s="377" t="n">
        <v>0</v>
      </c>
      <c r="J22" s="490" t="n">
        <v>25</v>
      </c>
      <c r="K22" s="377" t="n">
        <v>120</v>
      </c>
      <c r="L22" s="377" t="n">
        <v>0</v>
      </c>
      <c r="M22" s="377" t="n">
        <v>0</v>
      </c>
      <c r="N22" s="356" t="inlineStr">
        <is>
          <t>Summer Jun 1-Sep 30 / Non-summer Oct 1-May 31</t>
        </is>
      </c>
      <c r="O22" s="356" t="inlineStr">
        <is>
          <t>Peak 4-9pm weekdays; off-peak saver 9am-4pm non-summer</t>
        </is>
      </c>
      <c r="P22" s="492" t="inlineStr">
        <is>
          <t>VERIFIED</t>
        </is>
      </c>
      <c r="Q22" s="356" t="inlineStr">
        <is>
          <t>2026-01-01</t>
        </is>
      </c>
      <c r="R22" s="493" t="inlineStr">
        <is>
          <t>https://www.smud.org/-/media/Documents/Rate-Information/Rates/EV-Pilot-Tariff.ashx</t>
        </is>
      </c>
    </row>
    <row r="23" ht="43.5" customHeight="1" s="254">
      <c r="A23" s="489" t="inlineStr">
        <is>
          <t>SMUD — Sacramento Municipal Utility District</t>
        </is>
      </c>
      <c r="B23" s="356" t="inlineStr">
        <is>
          <t>CI-TOD4 (non-EV alternative)</t>
        </is>
      </c>
      <c r="C23" s="490" t="n">
        <v>1000</v>
      </c>
      <c r="D23" s="490" t="n">
        <v>99999</v>
      </c>
      <c r="E23" s="356" t="inlineStr">
        <is>
          <t>Secondary</t>
        </is>
      </c>
      <c r="F23" s="491" t="n">
        <v>0.2438</v>
      </c>
      <c r="G23" s="491" t="n">
        <v>0.1186</v>
      </c>
      <c r="H23" s="491" t="n">
        <v>0.0788</v>
      </c>
      <c r="I23" s="377" t="n">
        <v>17.66</v>
      </c>
      <c r="J23" s="490" t="n">
        <v>0</v>
      </c>
      <c r="K23" s="377" t="n">
        <v>0</v>
      </c>
      <c r="L23" s="377" t="n">
        <v>0</v>
      </c>
      <c r="M23" s="377" t="n">
        <v>4014.3</v>
      </c>
      <c r="N23" s="356" t="inlineStr">
        <is>
          <t>Summer Jun 1-Sep 30 / Non-summer Oct 1-May 31</t>
        </is>
      </c>
      <c r="O23" s="356" t="inlineStr">
        <is>
          <t>Peak 4-9pm weekdays</t>
        </is>
      </c>
      <c r="P23" s="492" t="inlineStr">
        <is>
          <t>VERIFIED</t>
        </is>
      </c>
      <c r="Q23" s="356" t="inlineStr">
        <is>
          <t>2026-01-01</t>
        </is>
      </c>
      <c r="R23" s="493" t="inlineStr">
        <is>
          <t>https://www.smud.org/-/media/Documents/Rate-Information/Rates/CI-TOD4.ashx</t>
        </is>
      </c>
    </row>
    <row r="24" ht="43.5" customHeight="1" s="254">
      <c r="A24" s="489" t="inlineStr">
        <is>
          <t>LADWP — Los Angeles Dept of Water &amp; Power</t>
        </is>
      </c>
      <c r="B24" s="356" t="inlineStr">
        <is>
          <t>A-2 (2009 base rates)</t>
        </is>
      </c>
      <c r="C24" s="490" t="n">
        <v>30</v>
      </c>
      <c r="D24" s="490" t="n">
        <v>99999</v>
      </c>
      <c r="E24" s="356" t="inlineStr">
        <is>
          <t>4.8 kV</t>
        </is>
      </c>
      <c r="F24" s="491" t="n">
        <v>0.04679</v>
      </c>
      <c r="G24" s="491" t="n">
        <v>0.01879</v>
      </c>
      <c r="H24" s="491" t="n">
        <v>0</v>
      </c>
      <c r="I24" s="377" t="n">
        <v>14</v>
      </c>
      <c r="J24" s="490" t="n">
        <v>0</v>
      </c>
      <c r="K24" s="377" t="n">
        <v>0</v>
      </c>
      <c r="L24" s="377" t="n">
        <v>0</v>
      </c>
      <c r="M24" s="377" t="n">
        <v>25</v>
      </c>
      <c r="N24" s="356" t="inlineStr">
        <is>
          <t>High Jun-Sep / Low Oct-May</t>
        </is>
      </c>
      <c r="O24" s="356" t="inlineStr">
        <is>
          <t>NOT PUBLISHED</t>
        </is>
      </c>
      <c r="P24" s="494" t="inlineStr">
        <is>
          <t>PARTIAL</t>
        </is>
      </c>
      <c r="Q24" s="356" t="inlineStr">
        <is>
          <t>2009-07-01</t>
        </is>
      </c>
      <c r="R24" s="493" t="inlineStr">
        <is>
          <t>https://www.ladwp.com/sites/default/files/documents/LADWP_Electric_Rates.pdf</t>
        </is>
      </c>
    </row>
    <row r="25" ht="43.5" customHeight="1" s="254">
      <c r="A25" s="489" t="inlineStr">
        <is>
          <t>IID — Imperial Irrigation District</t>
        </is>
      </c>
      <c r="B25" s="356" t="inlineStr">
        <is>
          <t>TOU-GL</t>
        </is>
      </c>
      <c r="C25" s="490" t="n">
        <v>100</v>
      </c>
      <c r="D25" s="490" t="n">
        <v>99999</v>
      </c>
      <c r="E25" s="356" t="inlineStr">
        <is>
          <t>All</t>
        </is>
      </c>
      <c r="F25" s="491" t="n">
        <v>0.2873</v>
      </c>
      <c r="G25" s="491" t="n">
        <v>0.08210000000000001</v>
      </c>
      <c r="H25" s="491" t="n">
        <v>0</v>
      </c>
      <c r="I25" s="377" t="n">
        <v>13</v>
      </c>
      <c r="J25" s="490" t="n">
        <v>0</v>
      </c>
      <c r="K25" s="377" t="n">
        <v>0</v>
      </c>
      <c r="L25" s="377" t="n">
        <v>0</v>
      </c>
      <c r="M25" s="377" t="n">
        <v>140</v>
      </c>
      <c r="N25" s="356" t="inlineStr">
        <is>
          <t>Summer May-Oct / Winter Nov-Apr</t>
        </is>
      </c>
      <c r="O25" s="356" t="inlineStr">
        <is>
          <t>Summer on-peak 4-9pm M-F; winter 5-9am &amp; 5-9pm M-F</t>
        </is>
      </c>
      <c r="P25" s="492" t="inlineStr">
        <is>
          <t>VERIFIED</t>
        </is>
      </c>
      <c r="Q25" s="356" t="inlineStr">
        <is>
          <t>2026-01-01</t>
        </is>
      </c>
      <c r="R25" s="493" t="inlineStr">
        <is>
          <t>https://www.iid.com/home/showpublisheddocument/22777/638738285500970000</t>
        </is>
      </c>
    </row>
    <row r="26" ht="43.5" customHeight="1" s="254">
      <c r="A26" s="489" t="inlineStr">
        <is>
          <t>Silicon Valley Power (Santa Clara)</t>
        </is>
      </c>
      <c r="B26" s="356" t="inlineStr">
        <is>
          <t>CB-1 TOU</t>
        </is>
      </c>
      <c r="C26" s="490" t="n">
        <v>0</v>
      </c>
      <c r="D26" s="490" t="n">
        <v>4000</v>
      </c>
      <c r="E26" s="356" t="inlineStr">
        <is>
          <t>Secondary</t>
        </is>
      </c>
      <c r="F26" s="491" t="n">
        <v>0.1849</v>
      </c>
      <c r="G26" s="491" t="n">
        <v>0.14217</v>
      </c>
      <c r="H26" s="491" t="n">
        <v>0</v>
      </c>
      <c r="I26" s="377" t="n">
        <v>12.14</v>
      </c>
      <c r="J26" s="490" t="n">
        <v>0</v>
      </c>
      <c r="K26" s="377" t="n">
        <v>0</v>
      </c>
      <c r="L26" s="377" t="n">
        <v>0</v>
      </c>
      <c r="M26" s="377" t="n">
        <v>100.45</v>
      </c>
      <c r="N26" s="356" t="inlineStr">
        <is>
          <t>None</t>
        </is>
      </c>
      <c r="O26" s="356" t="inlineStr">
        <is>
          <t>Peak 6am-10pm Mon-Sat — 16-hour, 6-day window</t>
        </is>
      </c>
      <c r="P26" s="492" t="inlineStr">
        <is>
          <t>VERIFIED</t>
        </is>
      </c>
      <c r="Q26" s="356" t="inlineStr">
        <is>
          <t>2026-01-01</t>
        </is>
      </c>
      <c r="R26" s="493" t="inlineStr">
        <is>
          <t>https://www.siliconvalleypower.com/home/showpublisheddocument/6251/639032065160570000</t>
        </is>
      </c>
    </row>
    <row r="27" ht="67.5" customHeight="1" s="254">
      <c r="A27" s="489" t="inlineStr">
        <is>
          <t>Riverside Public Utilities</t>
        </is>
      </c>
      <c r="B27" s="356" t="inlineStr">
        <is>
          <t>TOU Large General &amp; Industrial</t>
        </is>
      </c>
      <c r="C27" s="490" t="n">
        <v>150</v>
      </c>
      <c r="D27" s="490" t="n">
        <v>99999</v>
      </c>
      <c r="E27" s="356" t="inlineStr">
        <is>
          <t>All</t>
        </is>
      </c>
      <c r="F27" s="491" t="n">
        <v>0.1295</v>
      </c>
      <c r="G27" s="491" t="n">
        <v>0.0907</v>
      </c>
      <c r="H27" s="491" t="n">
        <v>0</v>
      </c>
      <c r="I27" s="377" t="n">
        <v>14.12</v>
      </c>
      <c r="J27" s="490" t="n">
        <v>0</v>
      </c>
      <c r="K27" s="377" t="n">
        <v>0</v>
      </c>
      <c r="L27" s="377" t="n">
        <v>0</v>
      </c>
      <c r="M27" s="377" t="n">
        <v>742.28</v>
      </c>
      <c r="N27" s="356" t="inlineStr">
        <is>
          <t>Summer Jun 1-Sep 30 / Winter Oct 1-May 31</t>
        </is>
      </c>
      <c r="O27" s="356" t="inlineStr">
        <is>
          <t>Summer on-peak 12-6pm wkdy; winter on-peak 5-9pm wkdy</t>
        </is>
      </c>
      <c r="P27" s="492" t="inlineStr">
        <is>
          <t>VERIFIED</t>
        </is>
      </c>
      <c r="Q27" s="356" t="inlineStr">
        <is>
          <t>2026-01-01</t>
        </is>
      </c>
      <c r="R27" s="493" t="inlineStr">
        <is>
          <t>https://www.riversideca.gov/utilities/sites/riversideca.gov.utilities/files/pdf/rates-electric/2024/Electric%20Schedule%20TOU%20-%20Effective%2001-1-24%20Final.pdf</t>
        </is>
      </c>
    </row>
    <row r="28" ht="79.5" customHeight="1" s="254">
      <c r="A28" s="489" t="inlineStr">
        <is>
          <t>Anaheim Public Utilities</t>
        </is>
      </c>
      <c r="B28" s="356" t="inlineStr">
        <is>
          <t>Anaheim Schedule TOU</t>
        </is>
      </c>
      <c r="C28" s="490" t="n">
        <v>500</v>
      </c>
      <c r="D28" s="490" t="n">
        <v>99999</v>
      </c>
      <c r="E28" s="356" t="inlineStr">
        <is>
          <t>&lt;=50 kV</t>
        </is>
      </c>
      <c r="F28" s="491" t="n">
        <v>0.148</v>
      </c>
      <c r="G28" s="491" t="n">
        <v>0.07870000000000001</v>
      </c>
      <c r="H28" s="491" t="n">
        <v>0</v>
      </c>
      <c r="I28" s="377" t="n">
        <v>24.34</v>
      </c>
      <c r="J28" s="490" t="n">
        <v>0</v>
      </c>
      <c r="K28" s="377" t="n">
        <v>0</v>
      </c>
      <c r="L28" s="377" t="n">
        <v>0</v>
      </c>
      <c r="M28" s="377" t="n">
        <v>342.12</v>
      </c>
      <c r="N28" s="356" t="inlineStr">
        <is>
          <t>Summer Jul 1-Nov 1 / Winter Nov 1-Jul 1</t>
        </is>
      </c>
      <c r="O28" s="356" t="inlineStr">
        <is>
          <t>Summer on-peak 4-9pm wkdy; mid-peak 12-4pm &amp; 9-11pm</t>
        </is>
      </c>
      <c r="P28" s="492" t="inlineStr">
        <is>
          <t>VERIFIED</t>
        </is>
      </c>
      <c r="Q28" s="356" t="inlineStr">
        <is>
          <t>2023-04-03</t>
        </is>
      </c>
      <c r="R28" s="49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356" t="inlineStr">
        <is>
          <t>PC-1-B TOU</t>
        </is>
      </c>
      <c r="C29" s="490" t="n">
        <v>500</v>
      </c>
      <c r="D29" s="490" t="n">
        <v>99999</v>
      </c>
      <c r="E29" s="356" t="inlineStr">
        <is>
          <t>All</t>
        </is>
      </c>
      <c r="F29" s="491" t="n">
        <v>0.3892</v>
      </c>
      <c r="G29" s="491" t="n">
        <v>0.1384</v>
      </c>
      <c r="H29" s="491" t="n">
        <v>0</v>
      </c>
      <c r="I29" s="377" t="n">
        <v>28.3</v>
      </c>
      <c r="J29" s="490" t="n">
        <v>0</v>
      </c>
      <c r="K29" s="377" t="n">
        <v>0</v>
      </c>
      <c r="L29" s="377" t="n">
        <v>0</v>
      </c>
      <c r="M29" s="377" t="n">
        <v>0</v>
      </c>
      <c r="N29" s="356" t="inlineStr">
        <is>
          <t>High Jul-Oct / Low Nov-Jun</t>
        </is>
      </c>
      <c r="O29" s="356" t="inlineStr">
        <is>
          <t>NOT PUBLISHED — note charge is per kW per DAY</t>
        </is>
      </c>
      <c r="P29" s="494" t="inlineStr">
        <is>
          <t>PARTIAL</t>
        </is>
      </c>
      <c r="Q29" s="356" t="inlineStr">
        <is>
          <t>2024-01-01</t>
        </is>
      </c>
      <c r="R29" s="493" t="inlineStr">
        <is>
          <t>https://www.glendaleca.gov/government/departments/glendale-water-and-power/rates/large-business-pc-1-electric-rates</t>
        </is>
      </c>
    </row>
    <row r="30" ht="55.5" customHeight="1" s="254">
      <c r="A30" s="489" t="inlineStr">
        <is>
          <t>Burbank Water and Power</t>
        </is>
      </c>
      <c r="B30" s="356" t="inlineStr">
        <is>
          <t>XL-TOU</t>
        </is>
      </c>
      <c r="C30" s="490" t="n">
        <v>1000</v>
      </c>
      <c r="D30" s="490" t="n">
        <v>99999</v>
      </c>
      <c r="E30" s="356" t="inlineStr">
        <is>
          <t>All</t>
        </is>
      </c>
      <c r="F30" s="491" t="n">
        <v>0.2131</v>
      </c>
      <c r="G30" s="491" t="n">
        <v>0.0896</v>
      </c>
      <c r="H30" s="491" t="n">
        <v>0</v>
      </c>
      <c r="I30" s="377" t="n">
        <v>20</v>
      </c>
      <c r="J30" s="490" t="n">
        <v>0</v>
      </c>
      <c r="K30" s="377" t="n">
        <v>0</v>
      </c>
      <c r="L30" s="377" t="n">
        <v>0</v>
      </c>
      <c r="M30" s="377" t="n">
        <v>0</v>
      </c>
      <c r="N30" s="356" t="inlineStr">
        <is>
          <t>Summer / Winter</t>
        </is>
      </c>
      <c r="O30" s="356" t="inlineStr">
        <is>
          <t>NOT PUBLISHED — demand billed per kVA not kW</t>
        </is>
      </c>
      <c r="P30" s="494" t="inlineStr">
        <is>
          <t>PARTIAL</t>
        </is>
      </c>
      <c r="Q30" s="356" t="inlineStr">
        <is>
          <t>2026-01-01</t>
        </is>
      </c>
      <c r="R30" s="493" t="inlineStr">
        <is>
          <t>https://www.burbankwaterandpower.com/documents/d/guest/Summary-of-Electric-Rates-by-Customer-Type_Commercial_all</t>
        </is>
      </c>
    </row>
    <row r="31" ht="43.5" customHeight="1" s="254">
      <c r="A31" s="489" t="inlineStr">
        <is>
          <t>Pasadena Water and Power</t>
        </is>
      </c>
      <c r="B31" s="356" t="inlineStr">
        <is>
          <t>L-1 Secondary</t>
        </is>
      </c>
      <c r="C31" s="490" t="n">
        <v>0</v>
      </c>
      <c r="D31" s="490" t="n">
        <v>99999</v>
      </c>
      <c r="E31" s="356" t="inlineStr">
        <is>
          <t>Secondary</t>
        </is>
      </c>
      <c r="F31" s="491" t="n">
        <v>0.13409</v>
      </c>
      <c r="G31" s="491" t="n">
        <v>0.12489</v>
      </c>
      <c r="H31" s="491" t="n">
        <v>0</v>
      </c>
      <c r="I31" s="377" t="n">
        <v>18.76</v>
      </c>
      <c r="J31" s="490" t="n">
        <v>0</v>
      </c>
      <c r="K31" s="377" t="n">
        <v>0</v>
      </c>
      <c r="L31" s="377" t="n">
        <v>0</v>
      </c>
      <c r="M31" s="377" t="n">
        <v>1500</v>
      </c>
      <c r="N31" s="356" t="inlineStr">
        <is>
          <t>Summer / Winter</t>
        </is>
      </c>
      <c r="O31" s="356" t="inlineStr">
        <is>
          <t>NOT PUBLISHED</t>
        </is>
      </c>
      <c r="P31" s="494" t="inlineStr">
        <is>
          <t>PARTIAL</t>
        </is>
      </c>
      <c r="Q31" s="356" t="inlineStr">
        <is>
          <t>2025-10-01</t>
        </is>
      </c>
      <c r="R31" s="493" t="inlineStr">
        <is>
          <t>https://pwp.cityofpasadena.net/wp-content/uploads/2025/09/Summary-Rates-2025_10.pdf</t>
        </is>
      </c>
    </row>
    <row r="32" ht="31.5" customHeight="1" s="254">
      <c r="A32" s="489" t="inlineStr">
        <is>
          <t>Roseville Electric Utility</t>
        </is>
      </c>
      <c r="B32" s="356" t="inlineStr">
        <is>
          <t>GS-4</t>
        </is>
      </c>
      <c r="C32" s="490" t="n">
        <v>1000</v>
      </c>
      <c r="D32" s="490" t="n">
        <v>99999</v>
      </c>
      <c r="E32" s="356" t="inlineStr">
        <is>
          <t>All</t>
        </is>
      </c>
      <c r="F32" s="491" t="n">
        <v>0.1969</v>
      </c>
      <c r="G32" s="491" t="n">
        <v>0.095</v>
      </c>
      <c r="H32" s="491" t="n">
        <v>0</v>
      </c>
      <c r="I32" s="377" t="n">
        <v>11.51</v>
      </c>
      <c r="J32" s="490" t="n">
        <v>0</v>
      </c>
      <c r="K32" s="377" t="n">
        <v>0</v>
      </c>
      <c r="L32" s="377" t="n">
        <v>0</v>
      </c>
      <c r="M32" s="377" t="n">
        <v>0</v>
      </c>
      <c r="N32" s="356" t="inlineStr">
        <is>
          <t>Summer / Winter</t>
        </is>
      </c>
      <c r="O32" s="356" t="inlineStr">
        <is>
          <t>NOT PUBLISHED</t>
        </is>
      </c>
      <c r="P32" s="494" t="inlineStr">
        <is>
          <t>PARTIAL</t>
        </is>
      </c>
      <c r="Q32" s="356" t="inlineStr">
        <is>
          <t>2026-07-01</t>
        </is>
      </c>
      <c r="R32" s="493" t="inlineStr">
        <is>
          <t>https://www.roseville.ca.gov/electric_utility/rates/index.php</t>
        </is>
      </c>
    </row>
    <row r="33" ht="67.5" customHeight="1" s="254">
      <c r="A33" s="489" t="inlineStr">
        <is>
          <t>City of Palo Alto Utilities</t>
        </is>
      </c>
      <c r="B33" s="356" t="inlineStr">
        <is>
          <t>E-7</t>
        </is>
      </c>
      <c r="C33" s="490" t="n">
        <v>1000</v>
      </c>
      <c r="D33" s="490" t="n">
        <v>99999</v>
      </c>
      <c r="E33" s="356" t="inlineStr">
        <is>
          <t>All</t>
        </is>
      </c>
      <c r="F33" s="491" t="n">
        <v>0.20068</v>
      </c>
      <c r="G33" s="491" t="n">
        <v>0.12834</v>
      </c>
      <c r="H33" s="491" t="n">
        <v>0.08</v>
      </c>
      <c r="I33" s="377" t="n">
        <v>47.54</v>
      </c>
      <c r="J33" s="490" t="n">
        <v>0</v>
      </c>
      <c r="K33" s="377" t="n">
        <v>0</v>
      </c>
      <c r="L33" s="377" t="n">
        <v>0</v>
      </c>
      <c r="M33" s="377" t="n">
        <v>604</v>
      </c>
      <c r="N33" s="356" t="inlineStr">
        <is>
          <t>Summer / Winter</t>
        </is>
      </c>
      <c r="O33" s="356" t="inlineStr">
        <is>
          <t>NOT PUBLISHED — two demand charges stack</t>
        </is>
      </c>
      <c r="P33" s="494" t="inlineStr">
        <is>
          <t>PARTIAL</t>
        </is>
      </c>
      <c r="Q33" s="356" t="inlineStr">
        <is>
          <t>2026-07-01</t>
        </is>
      </c>
      <c r="R33" s="493" t="inlineStr">
        <is>
          <t>https://www.cityofpaloalto.org/files/assets/public/v/5/utilities/rates-schedules-for-utilities/commercial-utility-rates/e-7-tou-effective-2025-07-01.pdf</t>
        </is>
      </c>
    </row>
    <row r="34" ht="43.5" customHeight="1" s="254">
      <c r="A34" s="489" t="inlineStr">
        <is>
          <t>TID — Turlock Irrigation District</t>
        </is>
      </c>
      <c r="B34" s="356" t="inlineStr">
        <is>
          <t>Schedule HT</t>
        </is>
      </c>
      <c r="C34" s="490" t="n">
        <v>500</v>
      </c>
      <c r="D34" s="490" t="n">
        <v>2999</v>
      </c>
      <c r="E34" s="356" t="inlineStr">
        <is>
          <t>All</t>
        </is>
      </c>
      <c r="F34" s="491" t="n">
        <v>0.1464</v>
      </c>
      <c r="G34" s="491" t="n">
        <v>0.0892</v>
      </c>
      <c r="H34" s="491" t="n">
        <v>0</v>
      </c>
      <c r="I34" s="377" t="n">
        <v>16</v>
      </c>
      <c r="J34" s="490" t="n">
        <v>0</v>
      </c>
      <c r="K34" s="377" t="n">
        <v>0</v>
      </c>
      <c r="L34" s="377" t="n">
        <v>0</v>
      </c>
      <c r="M34" s="377" t="n">
        <v>300</v>
      </c>
      <c r="N34" s="356" t="inlineStr">
        <is>
          <t>Summer / Winter</t>
        </is>
      </c>
      <c r="O34" s="356" t="inlineStr">
        <is>
          <t>On-peak 12pm-9pm Mon-Fri</t>
        </is>
      </c>
      <c r="P34" s="492" t="inlineStr">
        <is>
          <t>VERIFIED</t>
        </is>
      </c>
      <c r="Q34" s="356" t="inlineStr">
        <is>
          <t>2026-01-01</t>
        </is>
      </c>
      <c r="R34" s="493" t="inlineStr">
        <is>
          <t>https://www.tid.org/wp-content/uploads/2024/10/HT-Rate-Tariff-Effective-2025.pdf</t>
        </is>
      </c>
    </row>
    <row r="35" ht="43.5" customHeight="1" s="254">
      <c r="A35" s="489" t="inlineStr">
        <is>
          <t>Alameda Municipal Power</t>
        </is>
      </c>
      <c r="B35" s="356" t="inlineStr">
        <is>
          <t>Schedule A-3</t>
        </is>
      </c>
      <c r="C35" s="490" t="n">
        <v>500</v>
      </c>
      <c r="D35" s="490" t="n">
        <v>4000</v>
      </c>
      <c r="E35" s="356" t="inlineStr">
        <is>
          <t>All</t>
        </is>
      </c>
      <c r="F35" s="491" t="n">
        <v>0.14673</v>
      </c>
      <c r="G35" s="491" t="n">
        <v>0.14673</v>
      </c>
      <c r="H35" s="491" t="n">
        <v>0.14673</v>
      </c>
      <c r="I35" s="377" t="n">
        <v>17.96</v>
      </c>
      <c r="J35" s="490" t="n">
        <v>0</v>
      </c>
      <c r="K35" s="377" t="n">
        <v>0</v>
      </c>
      <c r="L35" s="377" t="n">
        <v>0</v>
      </c>
      <c r="M35" s="377" t="n">
        <v>573.6</v>
      </c>
      <c r="N35" s="356" t="inlineStr">
        <is>
          <t>None</t>
        </is>
      </c>
      <c r="O35" s="356" t="inlineStr">
        <is>
          <t>Flat, non-TOU</t>
        </is>
      </c>
      <c r="P35" s="492" t="inlineStr">
        <is>
          <t>VERIFIED</t>
        </is>
      </c>
      <c r="Q35" s="356" t="inlineStr">
        <is>
          <t>2025-07-01</t>
        </is>
      </c>
      <c r="R35" s="493" t="inlineStr">
        <is>
          <t>https://www.alamedamp.com/DocumentCenter/View/1477/A3-Rate-Schedule-Effective-2025-7-1</t>
        </is>
      </c>
    </row>
    <row r="36" ht="43.5" customHeight="1" s="254">
      <c r="A36" s="489" t="inlineStr">
        <is>
          <t>Azusa Light &amp; Water</t>
        </is>
      </c>
      <c r="B36" s="356" t="inlineStr">
        <is>
          <t>Azusa Schedule TOU</t>
        </is>
      </c>
      <c r="C36" s="490" t="n">
        <v>200</v>
      </c>
      <c r="D36" s="490" t="n">
        <v>99999</v>
      </c>
      <c r="E36" s="356" t="inlineStr">
        <is>
          <t>All</t>
        </is>
      </c>
      <c r="F36" s="491" t="n">
        <v>0.15455</v>
      </c>
      <c r="G36" s="491" t="n">
        <v>0.07026</v>
      </c>
      <c r="H36" s="491" t="n">
        <v>0</v>
      </c>
      <c r="I36" s="377" t="n">
        <v>12.01</v>
      </c>
      <c r="J36" s="490" t="n">
        <v>0</v>
      </c>
      <c r="K36" s="377" t="n">
        <v>0</v>
      </c>
      <c r="L36" s="377" t="n">
        <v>0</v>
      </c>
      <c r="M36" s="377" t="n">
        <v>42.15</v>
      </c>
      <c r="N36" s="356" t="inlineStr">
        <is>
          <t>Summer / Winter</t>
        </is>
      </c>
      <c r="O36" s="356" t="inlineStr">
        <is>
          <t>Off-peak demand charge is ZERO</t>
        </is>
      </c>
      <c r="P36" s="492" t="inlineStr">
        <is>
          <t>VERIFIED</t>
        </is>
      </c>
      <c r="Q36" s="356" t="inlineStr">
        <is>
          <t>2026-06-01</t>
        </is>
      </c>
      <c r="R36" s="493" t="inlineStr">
        <is>
          <t>https://azusaca.gov/DocumentCenter/View/50568/Rules-and-Regulations-6-1-2026</t>
        </is>
      </c>
    </row>
    <row r="37" ht="67.5" customHeight="1" s="254">
      <c r="A37" s="489" t="inlineStr">
        <is>
          <t>SCE — Southern California Edison</t>
        </is>
      </c>
      <c r="B37" s="356" t="inlineStr">
        <is>
          <t>TOU-EV-9 PLACEHOLDER &lt;2kV</t>
        </is>
      </c>
      <c r="C37" s="490" t="n">
        <v>500</v>
      </c>
      <c r="D37" s="490" t="n">
        <v>99999</v>
      </c>
      <c r="E37" s="356" t="inlineStr">
        <is>
          <t>Below 2 kV</t>
        </is>
      </c>
      <c r="F37" s="491" t="n">
        <v>0.52398</v>
      </c>
      <c r="G37" s="491" t="n">
        <v>0.13292</v>
      </c>
      <c r="H37" s="491" t="n">
        <v>0.08666</v>
      </c>
      <c r="I37" s="377" t="n">
        <v>0</v>
      </c>
      <c r="J37" s="490" t="n">
        <v>0</v>
      </c>
      <c r="K37" s="377" t="n">
        <v>0</v>
      </c>
      <c r="L37" s="377" t="n">
        <v>0</v>
      </c>
      <c r="M37" s="377" t="n">
        <v>701.42</v>
      </c>
      <c r="N37" s="356" t="inlineStr">
        <is>
          <t>Summer Jun-Sep / Winter Oct-May</t>
        </is>
      </c>
      <c r="O37" s="356" t="inlineStr">
        <is>
          <t>Summer on-peak 4-9pm wkdy. Winter period boundaries DISPUTED between sources</t>
        </is>
      </c>
      <c r="P37" s="496" t="inlineStr">
        <is>
          <t>PLACEHOLDER 2021 VINTAGE</t>
        </is>
      </c>
      <c r="Q37" s="356" t="inlineStr">
        <is>
          <t>2021-10-01</t>
        </is>
      </c>
      <c r="R37" s="493" t="inlineStr">
        <is>
          <t>https://www.cpuc.ca.gov/-/media/cpuc-website/divisions/energy-division/documents/transportation-electrification/sce-ev-rates-updated-oct-2021.pdf</t>
        </is>
      </c>
    </row>
    <row r="38" ht="67.5" customHeight="1" s="254">
      <c r="A38" s="489" t="inlineStr">
        <is>
          <t>SCE — Southern California Edison</t>
        </is>
      </c>
      <c r="B38" s="356" t="inlineStr">
        <is>
          <t>TOU-EV-9 PLACEHOLDER 2-50kV</t>
        </is>
      </c>
      <c r="C38" s="490" t="n">
        <v>500</v>
      </c>
      <c r="D38" s="490" t="n">
        <v>99999</v>
      </c>
      <c r="E38" s="356" t="inlineStr">
        <is>
          <t>2-50 kV</t>
        </is>
      </c>
      <c r="F38" s="491" t="n">
        <v>0.48076</v>
      </c>
      <c r="G38" s="491" t="n">
        <v>0.12201</v>
      </c>
      <c r="H38" s="491" t="n">
        <v>0.08198999999999999</v>
      </c>
      <c r="I38" s="377" t="n">
        <v>0</v>
      </c>
      <c r="J38" s="490" t="n">
        <v>0</v>
      </c>
      <c r="K38" s="377" t="n">
        <v>0</v>
      </c>
      <c r="L38" s="377" t="n">
        <v>0</v>
      </c>
      <c r="M38" s="377" t="n">
        <v>373.12</v>
      </c>
      <c r="N38" s="356" t="inlineStr">
        <is>
          <t>Summer Jun-Sep / Winter Oct-May</t>
        </is>
      </c>
      <c r="O38" s="356" t="inlineStr">
        <is>
          <t>Summer on-peak 4-9pm wkdy</t>
        </is>
      </c>
      <c r="P38" s="496" t="inlineStr">
        <is>
          <t>PLACEHOLDER 2021 VINTAGE</t>
        </is>
      </c>
      <c r="Q38" s="356" t="inlineStr">
        <is>
          <t>2021-10-01</t>
        </is>
      </c>
      <c r="R38" s="493" t="inlineStr">
        <is>
          <t>https://www.cpuc.ca.gov/-/media/cpuc-website/divisions/energy-division/documents/transportation-electrification/sce-ev-rates-updated-oct-2021.pdf</t>
        </is>
      </c>
    </row>
    <row r="39" ht="67.5" customHeight="1" s="254">
      <c r="A39" s="489" t="inlineStr">
        <is>
          <t>SCE — Southern California Edison</t>
        </is>
      </c>
      <c r="B39" s="356" t="inlineStr">
        <is>
          <t>TOU-EV-8 PLACEHOLDER</t>
        </is>
      </c>
      <c r="C39" s="490" t="n">
        <v>20</v>
      </c>
      <c r="D39" s="490" t="n">
        <v>500</v>
      </c>
      <c r="E39" s="356" t="inlineStr">
        <is>
          <t>Secondary</t>
        </is>
      </c>
      <c r="F39" s="491" t="n">
        <v>0.59521</v>
      </c>
      <c r="G39" s="491" t="n">
        <v>0.15808</v>
      </c>
      <c r="H39" s="491" t="n">
        <v>0.09772</v>
      </c>
      <c r="I39" s="377" t="n">
        <v>0</v>
      </c>
      <c r="J39" s="490" t="n">
        <v>0</v>
      </c>
      <c r="K39" s="377" t="n">
        <v>0</v>
      </c>
      <c r="L39" s="377" t="n">
        <v>0</v>
      </c>
      <c r="M39" s="377" t="n">
        <v>194.05</v>
      </c>
      <c r="N39" s="356" t="inlineStr">
        <is>
          <t>Summer Jun-Sep / Winter Oct-May</t>
        </is>
      </c>
      <c r="O39" s="356" t="inlineStr">
        <is>
          <t>Summer on-peak 4-9pm wkdy</t>
        </is>
      </c>
      <c r="P39" s="496" t="inlineStr">
        <is>
          <t>PLACEHOLDER 2021 VINTAGE</t>
        </is>
      </c>
      <c r="Q39" s="356" t="inlineStr">
        <is>
          <t>2021-10-01</t>
        </is>
      </c>
      <c r="R39" s="493" t="inlineStr">
        <is>
          <t>https://www.cpuc.ca.gov/-/media/cpuc-website/divisions/energy-division/documents/transportation-electrification/sce-ev-rates-updated-oct-2021.pdf</t>
        </is>
      </c>
    </row>
    <row r="40" ht="27.76" customHeight="1" s="254">
      <c r="A40" s="489" t="inlineStr">
        <is>
          <t>Redding Electric Utility</t>
        </is>
      </c>
      <c r="B40" s="356" t="inlineStr">
        <is>
          <t>E2 — Small Commercial (no demand charge)</t>
        </is>
      </c>
      <c r="C40" s="490" t="n">
        <v>0</v>
      </c>
      <c r="D40" s="490" t="n">
        <v>75</v>
      </c>
      <c r="E40" s="356" t="inlineStr">
        <is>
          <t>Secondary</t>
        </is>
      </c>
      <c r="F40" s="491" t="n">
        <v>0.1649</v>
      </c>
      <c r="G40" s="491" t="n">
        <v>0.1649</v>
      </c>
      <c r="H40" s="491" t="n">
        <v>0.1649</v>
      </c>
      <c r="I40" s="377" t="n">
        <v>0</v>
      </c>
      <c r="J40" s="490" t="n">
        <v>0</v>
      </c>
      <c r="K40" s="377" t="n">
        <v>0</v>
      </c>
      <c r="L40" s="377" t="n">
        <v>0</v>
      </c>
      <c r="M40" s="377" t="n">
        <v>70</v>
      </c>
      <c r="N40" s="356" t="inlineStr">
        <is>
          <t>None — flat all year</t>
        </is>
      </c>
      <c r="O40" s="356" t="inlineStr">
        <is>
          <t>None — REU publishes no commercial time-of-use rate</t>
        </is>
      </c>
      <c r="P40" s="492" t="inlineStr">
        <is>
          <t>UNVERIFIED — third-party summary</t>
        </is>
      </c>
      <c r="Q40" s="356" t="inlineStr">
        <is>
          <t>2025-01-01</t>
        </is>
      </c>
      <c r="R40"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356" t="inlineStr">
        <is>
          <t>E7/E8 — Large Commercial (demand)</t>
        </is>
      </c>
      <c r="C41" s="490" t="n">
        <v>25</v>
      </c>
      <c r="D41" s="490" t="n">
        <v>99999</v>
      </c>
      <c r="E41" s="356" t="inlineStr">
        <is>
          <t>Secondary</t>
        </is>
      </c>
      <c r="F41" s="491" t="n">
        <v>0.1086</v>
      </c>
      <c r="G41" s="491" t="n">
        <v>0.1086</v>
      </c>
      <c r="H41" s="491" t="n">
        <v>0.1086</v>
      </c>
      <c r="I41" s="377" t="n">
        <v>21.5</v>
      </c>
      <c r="J41" s="490" t="n">
        <v>0</v>
      </c>
      <c r="K41" s="377" t="n">
        <v>0</v>
      </c>
      <c r="L41" s="377" t="n">
        <v>0</v>
      </c>
      <c r="M41" s="377" t="n">
        <v>95</v>
      </c>
      <c r="N41" s="356" t="inlineStr">
        <is>
          <t>None — flat all year</t>
        </is>
      </c>
      <c r="O41" s="356" t="inlineStr">
        <is>
          <t>None — no time-of-use. Demand is set by the highest 15-minute interval in the month</t>
        </is>
      </c>
      <c r="P41" s="492" t="inlineStr">
        <is>
          <t>UNVERIFIED — third-party summary</t>
        </is>
      </c>
      <c r="Q41" s="356" t="inlineStr">
        <is>
          <t>2025-01-01</t>
        </is>
      </c>
      <c r="R41"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262" t="n"/>
    </row>
    <row r="43" ht="15" customHeight="1" s="254">
      <c r="A43" s="497" t="n"/>
    </row>
    <row r="44" ht="15" customHeight="1" s="254">
      <c r="A44" s="479" t="n"/>
      <c r="B44" s="479" t="n"/>
      <c r="C44" s="479" t="n"/>
      <c r="D44" s="479" t="n"/>
    </row>
    <row r="45" ht="19.5" customHeight="1" s="254">
      <c r="A45" s="324" t="n"/>
      <c r="B45" s="324" t="n"/>
      <c r="C45" s="498" t="n"/>
      <c r="D45" s="486" t="n"/>
    </row>
    <row r="46" ht="19.5" customHeight="1" s="254">
      <c r="A46" s="324" t="n"/>
      <c r="B46" s="324" t="n"/>
      <c r="C46" s="499" t="n"/>
      <c r="D46" s="486" t="n"/>
    </row>
    <row r="47" ht="19.5" customHeight="1" s="254">
      <c r="A47" s="324" t="n"/>
      <c r="B47" s="324" t="n"/>
      <c r="C47" s="499" t="n"/>
      <c r="D47" s="486" t="n"/>
    </row>
    <row r="48" ht="19.5" customHeight="1" s="254">
      <c r="A48" s="324" t="n"/>
      <c r="B48" s="324" t="n"/>
      <c r="C48" s="499" t="n"/>
      <c r="D48" s="486" t="n"/>
    </row>
    <row r="49" ht="19.5" customHeight="1" s="254">
      <c r="A49" s="324" t="n"/>
      <c r="B49" s="324" t="n"/>
      <c r="C49" s="500" t="n"/>
      <c r="D49" s="486" t="n"/>
    </row>
    <row r="50" ht="19.5" customHeight="1" s="254">
      <c r="A50" s="324" t="n"/>
      <c r="B50" s="324" t="n"/>
      <c r="C50" s="500" t="n"/>
      <c r="D50" s="486" t="n"/>
    </row>
    <row r="51" ht="19.5" customHeight="1" s="254">
      <c r="A51" s="324" t="n"/>
      <c r="B51" s="324" t="n"/>
      <c r="C51" s="499" t="n"/>
      <c r="D51" s="486" t="n"/>
    </row>
    <row r="52" ht="19.5" customHeight="1" s="254">
      <c r="A52" s="324" t="n"/>
      <c r="B52" s="324" t="n"/>
      <c r="C52" s="498" t="n"/>
      <c r="D52" s="486" t="n"/>
    </row>
    <row r="53" ht="19.5" customHeight="1" s="254">
      <c r="A53" s="324" t="n"/>
      <c r="B53" s="324" t="n"/>
      <c r="C53" s="498" t="n"/>
      <c r="D53" s="486" t="n"/>
    </row>
    <row r="54" ht="19.5" customHeight="1" s="254">
      <c r="A54" s="324" t="n"/>
      <c r="B54" s="324" t="n"/>
      <c r="C54" s="500" t="n"/>
      <c r="D54" s="486" t="n"/>
    </row>
    <row r="55" ht="19.5" customHeight="1" s="254">
      <c r="A55" s="324" t="n"/>
      <c r="B55" s="324" t="n"/>
      <c r="C55" s="498" t="n"/>
      <c r="D55" s="486" t="n"/>
    </row>
    <row r="60" ht="14.25" customHeight="1" s="254">
      <c r="A60" s="262" t="inlineStr">
        <is>
          <t>UTILITY EV CHARGING REBATE AND MAKE-READY PROGRAMMES</t>
        </is>
      </c>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479" t="inlineStr">
        <is>
          <t>Programme</t>
        </is>
      </c>
      <c r="C62" s="479" t="inlineStr">
        <is>
          <t>Status</t>
        </is>
      </c>
      <c r="D62" s="479" t="inlineStr">
        <is>
          <t>Amounts</t>
        </is>
      </c>
    </row>
    <row r="63" ht="19.5" customHeight="1" s="254">
      <c r="A63" s="324" t="inlineStr">
        <is>
          <t>LADWP</t>
        </is>
      </c>
      <c r="B63" s="324" t="inlineStr">
        <is>
          <t>Commercial EV Charger Rebate</t>
        </is>
      </c>
      <c r="C63" s="498" t="inlineStr">
        <is>
          <t>CLOSED — reopening Oct 2026</t>
        </is>
      </c>
      <c r="D63" s="486"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9.5" customHeight="1" s="254">
      <c r="A64" s="324" t="inlineStr">
        <is>
          <t>SMUD</t>
        </is>
      </c>
      <c r="B64" s="324" t="inlineStr">
        <is>
          <t>Commercial EV Program</t>
        </is>
      </c>
      <c r="C64" s="499" t="inlineStr">
        <is>
          <t>OPEN — first come first served</t>
        </is>
      </c>
      <c r="D64" s="486"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9.5" customHeight="1" s="254">
      <c r="A65" s="324" t="inlineStr">
        <is>
          <t>Riverside Public Utilities</t>
        </is>
      </c>
      <c r="B65" s="324" t="inlineStr">
        <is>
          <t>Electrify Riverside</t>
        </is>
      </c>
      <c r="C65" s="499" t="inlineStr">
        <is>
          <t>OPEN — first come first served</t>
        </is>
      </c>
      <c r="D65" s="486"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9.5" customHeight="1" s="254">
      <c r="A66" s="324" t="inlineStr">
        <is>
          <t>Glendale Water and Power</t>
        </is>
      </c>
      <c r="B66" s="324" t="inlineStr">
        <is>
          <t>Commercial EV charger rebate</t>
        </is>
      </c>
      <c r="C66" s="499" t="inlineStr">
        <is>
          <t>OPEN</t>
        </is>
      </c>
      <c r="D66" s="486"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9.5" customHeight="1" s="254">
      <c r="A67" s="324" t="inlineStr">
        <is>
          <t>Burbank Water and Power</t>
        </is>
      </c>
      <c r="B67" s="324" t="inlineStr">
        <is>
          <t>Commercial EV charging rebate</t>
        </is>
      </c>
      <c r="C67" s="500" t="inlineStr">
        <is>
          <t>Status not stated</t>
        </is>
      </c>
      <c r="D67" s="486"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9.5" customHeight="1" s="254">
      <c r="A68" s="324" t="inlineStr">
        <is>
          <t>Pasadena Water and Power</t>
        </is>
      </c>
      <c r="B68" s="324" t="inlineStr">
        <is>
          <t>Commercial charger rebate</t>
        </is>
      </c>
      <c r="C68" s="500" t="inlineStr">
        <is>
          <t>'Limited time' — status not stated</t>
        </is>
      </c>
      <c r="D68" s="486"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9.5" customHeight="1" s="254">
      <c r="A69" s="324" t="inlineStr">
        <is>
          <t>Roseville Electric Utility</t>
        </is>
      </c>
      <c r="B69" s="324" t="inlineStr">
        <is>
          <t>Charge Ahead</t>
        </is>
      </c>
      <c r="C69" s="499" t="inlineStr">
        <is>
          <t>OPEN — but DCFC is non-profit &amp; multifamily ONLY</t>
        </is>
      </c>
      <c r="D69" s="486"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9.5" customHeight="1" s="254">
      <c r="A70" s="324" t="inlineStr">
        <is>
          <t>Silicon Valley Power</t>
        </is>
      </c>
      <c r="B70" s="324" t="inlineStr">
        <is>
          <t>MFH &amp; Commercial EV incentive</t>
        </is>
      </c>
      <c r="C70" s="498" t="inlineStr">
        <is>
          <t>CLOSED — fully subscribed</t>
        </is>
      </c>
      <c r="D70" s="486"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9.5" customHeight="1" s="254">
      <c r="A71" s="324" t="inlineStr">
        <is>
          <t>City of Palo Alto Utilities</t>
        </is>
      </c>
      <c r="B71" s="324" t="inlineStr">
        <is>
          <t>EV charger programme</t>
        </is>
      </c>
      <c r="C71" s="498" t="inlineStr">
        <is>
          <t>Non-residential reservations CLOSED</t>
        </is>
      </c>
      <c r="D71" s="486"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9.5" customHeight="1" s="254">
      <c r="A72" s="324" t="inlineStr">
        <is>
          <t>IID</t>
        </is>
      </c>
      <c r="B72" s="324" t="inlineStr">
        <is>
          <t>(none found for commercial)</t>
        </is>
      </c>
      <c r="C72" s="500" t="inlineStr">
        <is>
          <t>—</t>
        </is>
      </c>
      <c r="D72" s="486"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9.5" customHeight="1" s="254">
      <c r="A73" s="324" t="inlineStr">
        <is>
          <t>SCE</t>
        </is>
      </c>
      <c r="B73" s="324" t="inlineStr">
        <is>
          <t>Charge Ready</t>
        </is>
      </c>
      <c r="C73" s="498" t="inlineStr">
        <is>
          <t>CLOSED — agreements had to be signed by 31 Dec 2026</t>
        </is>
      </c>
      <c r="D73" s="486"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27.76" customHeight="1" s="254">
      <c r="A74" s="324" t="inlineStr">
        <is>
          <t>Redding Electric Utility</t>
        </is>
      </c>
      <c r="B74" s="324" t="inlineStr">
        <is>
          <t>DC Fast Charger Rebate</t>
        </is>
      </c>
      <c r="C74" s="498" t="inlineStr">
        <is>
          <t>OPEN — verify funding before relying on it</t>
        </is>
      </c>
      <c r="D74" s="486"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2026-08-26T15:16:12Z</dcterms:created>
  <dcterms:modified xsi:type="dcterms:W3CDTF">2026-09-14T20:36:07Z</dcterms:modified>
  <cp:revision>0</cp:revision>
</cp:coreProperties>
</file>